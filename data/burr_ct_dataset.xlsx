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urr ML Project\Burr-prediction--using-ml\data\"/>
    </mc:Choice>
  </mc:AlternateContent>
  <xr:revisionPtr revIDLastSave="0" documentId="13_ncr:1_{EB9771AF-72F9-43BE-B405-35C52C74A8FA}" xr6:coauthVersionLast="47" xr6:coauthVersionMax="47" xr10:uidLastSave="{00000000-0000-0000-0000-000000000000}"/>
  <bookViews>
    <workbookView xWindow="0" yWindow="360" windowWidth="23256" windowHeight="12456" xr2:uid="{9273C5A2-27BD-42A8-8063-BC93ADEE553A}"/>
  </bookViews>
  <sheets>
    <sheet name="burr CT" sheetId="1" r:id="rId1"/>
  </sheets>
  <definedNames>
    <definedName name="_xlnm._FilterDatabase" localSheetId="0" hidden="1">'burr CT'!$A$1:$K$62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G25" i="1"/>
  <c r="I25" i="1"/>
  <c r="J25" i="1"/>
  <c r="L25" i="1"/>
  <c r="M25" i="1"/>
  <c r="T78" i="1"/>
  <c r="S78" i="1"/>
  <c r="T77" i="1"/>
  <c r="S77" i="1"/>
  <c r="T76" i="1"/>
  <c r="S76" i="1"/>
  <c r="T73" i="1"/>
  <c r="S73" i="1"/>
  <c r="T72" i="1"/>
  <c r="S72" i="1"/>
  <c r="T71" i="1"/>
  <c r="S71" i="1"/>
  <c r="T68" i="1"/>
  <c r="S68" i="1"/>
  <c r="T67" i="1"/>
  <c r="S67" i="1"/>
  <c r="T66" i="1"/>
  <c r="S66" i="1"/>
  <c r="L61" i="1"/>
  <c r="M61" i="1" s="1"/>
  <c r="I61" i="1"/>
  <c r="J61" i="1" s="1"/>
  <c r="F61" i="1"/>
  <c r="G61" i="1" s="1"/>
  <c r="L60" i="1"/>
  <c r="M60" i="1" s="1"/>
  <c r="I60" i="1"/>
  <c r="J60" i="1" s="1"/>
  <c r="F60" i="1"/>
  <c r="G60" i="1" s="1"/>
  <c r="L59" i="1"/>
  <c r="M59" i="1" s="1"/>
  <c r="J59" i="1"/>
  <c r="I59" i="1"/>
  <c r="F59" i="1"/>
  <c r="G59" i="1" s="1"/>
  <c r="L58" i="1"/>
  <c r="M58" i="1" s="1"/>
  <c r="I58" i="1"/>
  <c r="J58" i="1" s="1"/>
  <c r="G58" i="1"/>
  <c r="F58" i="1"/>
  <c r="M57" i="1"/>
  <c r="L57" i="1"/>
  <c r="J57" i="1"/>
  <c r="I57" i="1"/>
  <c r="F57" i="1"/>
  <c r="G57" i="1" s="1"/>
  <c r="L56" i="1"/>
  <c r="M56" i="1" s="1"/>
  <c r="I56" i="1"/>
  <c r="J56" i="1" s="1"/>
  <c r="F56" i="1"/>
  <c r="G56" i="1" s="1"/>
  <c r="L55" i="1"/>
  <c r="M55" i="1" s="1"/>
  <c r="I55" i="1"/>
  <c r="J55" i="1" s="1"/>
  <c r="F55" i="1"/>
  <c r="G55" i="1" s="1"/>
  <c r="L54" i="1"/>
  <c r="M54" i="1" s="1"/>
  <c r="I54" i="1"/>
  <c r="J54" i="1" s="1"/>
  <c r="F54" i="1"/>
  <c r="G54" i="1" s="1"/>
  <c r="M53" i="1"/>
  <c r="L53" i="1"/>
  <c r="I53" i="1"/>
  <c r="J53" i="1" s="1"/>
  <c r="G53" i="1"/>
  <c r="F53" i="1"/>
  <c r="L52" i="1"/>
  <c r="M52" i="1" s="1"/>
  <c r="J52" i="1"/>
  <c r="I52" i="1"/>
  <c r="F52" i="1"/>
  <c r="G52" i="1" s="1"/>
  <c r="M51" i="1"/>
  <c r="L51" i="1"/>
  <c r="I51" i="1"/>
  <c r="J51" i="1" s="1"/>
  <c r="F51" i="1"/>
  <c r="G51" i="1" s="1"/>
  <c r="L50" i="1"/>
  <c r="M50" i="1" s="1"/>
  <c r="I50" i="1"/>
  <c r="J50" i="1" s="1"/>
  <c r="F50" i="1"/>
  <c r="G50" i="1" s="1"/>
  <c r="L49" i="1"/>
  <c r="M49" i="1" s="1"/>
  <c r="I49" i="1"/>
  <c r="J49" i="1" s="1"/>
  <c r="G49" i="1"/>
  <c r="F49" i="1"/>
  <c r="L48" i="1"/>
  <c r="M48" i="1" s="1"/>
  <c r="I48" i="1"/>
  <c r="J48" i="1" s="1"/>
  <c r="G48" i="1"/>
  <c r="F48" i="1"/>
  <c r="L47" i="1"/>
  <c r="M47" i="1" s="1"/>
  <c r="J47" i="1"/>
  <c r="I47" i="1"/>
  <c r="G47" i="1"/>
  <c r="F47" i="1"/>
  <c r="M46" i="1"/>
  <c r="L46" i="1"/>
  <c r="I46" i="1"/>
  <c r="J46" i="1" s="1"/>
  <c r="F46" i="1"/>
  <c r="G46" i="1" s="1"/>
  <c r="L45" i="1"/>
  <c r="M45" i="1" s="1"/>
  <c r="I45" i="1"/>
  <c r="J45" i="1" s="1"/>
  <c r="F45" i="1"/>
  <c r="G45" i="1" s="1"/>
  <c r="L44" i="1"/>
  <c r="M44" i="1" s="1"/>
  <c r="I44" i="1"/>
  <c r="J44" i="1" s="1"/>
  <c r="F44" i="1"/>
  <c r="G44" i="1" s="1"/>
  <c r="L43" i="1"/>
  <c r="M43" i="1" s="1"/>
  <c r="J43" i="1"/>
  <c r="I43" i="1"/>
  <c r="F43" i="1"/>
  <c r="G43" i="1" s="1"/>
  <c r="L42" i="1"/>
  <c r="M42" i="1" s="1"/>
  <c r="I42" i="1"/>
  <c r="J42" i="1" s="1"/>
  <c r="G42" i="1"/>
  <c r="F42" i="1"/>
  <c r="M41" i="1"/>
  <c r="L41" i="1"/>
  <c r="J41" i="1"/>
  <c r="I41" i="1"/>
  <c r="F41" i="1"/>
  <c r="G41" i="1" s="1"/>
  <c r="L40" i="1"/>
  <c r="M40" i="1" s="1"/>
  <c r="I40" i="1"/>
  <c r="J40" i="1" s="1"/>
  <c r="F40" i="1"/>
  <c r="G40" i="1" s="1"/>
  <c r="L39" i="1"/>
  <c r="M39" i="1" s="1"/>
  <c r="I39" i="1"/>
  <c r="J39" i="1" s="1"/>
  <c r="F39" i="1"/>
  <c r="G39" i="1" s="1"/>
  <c r="L38" i="1"/>
  <c r="M38" i="1" s="1"/>
  <c r="I38" i="1"/>
  <c r="J38" i="1" s="1"/>
  <c r="F38" i="1"/>
  <c r="G38" i="1" s="1"/>
  <c r="L37" i="1"/>
  <c r="M37" i="1" s="1"/>
  <c r="I37" i="1"/>
  <c r="J37" i="1" s="1"/>
  <c r="G37" i="1"/>
  <c r="F37" i="1"/>
  <c r="M36" i="1"/>
  <c r="L36" i="1"/>
  <c r="J36" i="1"/>
  <c r="I36" i="1"/>
  <c r="F36" i="1"/>
  <c r="G36" i="1" s="1"/>
  <c r="P35" i="1"/>
  <c r="M35" i="1"/>
  <c r="L35" i="1"/>
  <c r="I35" i="1"/>
  <c r="J35" i="1" s="1"/>
  <c r="F35" i="1"/>
  <c r="G35" i="1" s="1"/>
  <c r="L34" i="1"/>
  <c r="M34" i="1" s="1"/>
  <c r="I34" i="1"/>
  <c r="J34" i="1" s="1"/>
  <c r="F34" i="1"/>
  <c r="G34" i="1" s="1"/>
  <c r="L33" i="1"/>
  <c r="M33" i="1" s="1"/>
  <c r="I33" i="1"/>
  <c r="J33" i="1" s="1"/>
  <c r="F33" i="1"/>
  <c r="G33" i="1" s="1"/>
  <c r="L32" i="1"/>
  <c r="M32" i="1" s="1"/>
  <c r="I32" i="1"/>
  <c r="J32" i="1" s="1"/>
  <c r="F32" i="1"/>
  <c r="G32" i="1" s="1"/>
  <c r="L31" i="1"/>
  <c r="M31" i="1" s="1"/>
  <c r="J31" i="1"/>
  <c r="I31" i="1"/>
  <c r="G31" i="1"/>
  <c r="F31" i="1"/>
  <c r="M30" i="1"/>
  <c r="L30" i="1"/>
  <c r="I30" i="1"/>
  <c r="J30" i="1" s="1"/>
  <c r="F30" i="1"/>
  <c r="G30" i="1" s="1"/>
  <c r="M29" i="1"/>
  <c r="L29" i="1"/>
  <c r="I29" i="1"/>
  <c r="J29" i="1" s="1"/>
  <c r="F29" i="1"/>
  <c r="G29" i="1" s="1"/>
  <c r="L28" i="1"/>
  <c r="M28" i="1" s="1"/>
  <c r="I28" i="1"/>
  <c r="J28" i="1" s="1"/>
  <c r="F28" i="1"/>
  <c r="G28" i="1" s="1"/>
  <c r="L27" i="1"/>
  <c r="M27" i="1" s="1"/>
  <c r="I27" i="1"/>
  <c r="J27" i="1" s="1"/>
  <c r="F27" i="1"/>
  <c r="G27" i="1" s="1"/>
  <c r="L26" i="1"/>
  <c r="M26" i="1" s="1"/>
  <c r="I26" i="1"/>
  <c r="J26" i="1" s="1"/>
  <c r="G26" i="1"/>
  <c r="F26" i="1"/>
  <c r="L24" i="1"/>
  <c r="M24" i="1" s="1"/>
  <c r="I24" i="1"/>
  <c r="J24" i="1" s="1"/>
  <c r="F24" i="1"/>
  <c r="G24" i="1" s="1"/>
  <c r="L23" i="1"/>
  <c r="M23" i="1" s="1"/>
  <c r="I23" i="1"/>
  <c r="J23" i="1" s="1"/>
  <c r="F23" i="1"/>
  <c r="G23" i="1" s="1"/>
  <c r="L22" i="1"/>
  <c r="M22" i="1" s="1"/>
  <c r="I22" i="1"/>
  <c r="J22" i="1" s="1"/>
  <c r="F22" i="1"/>
  <c r="G22" i="1" s="1"/>
  <c r="L21" i="1"/>
  <c r="M21" i="1" s="1"/>
  <c r="I21" i="1"/>
  <c r="J21" i="1" s="1"/>
  <c r="G21" i="1"/>
  <c r="F21" i="1"/>
  <c r="M20" i="1"/>
  <c r="L20" i="1"/>
  <c r="J20" i="1"/>
  <c r="I20" i="1"/>
  <c r="F20" i="1"/>
  <c r="G20" i="1" s="1"/>
  <c r="M19" i="1"/>
  <c r="L19" i="1"/>
  <c r="I19" i="1"/>
  <c r="J19" i="1" s="1"/>
  <c r="F19" i="1"/>
  <c r="G19" i="1" s="1"/>
  <c r="L18" i="1"/>
  <c r="M18" i="1" s="1"/>
  <c r="I18" i="1"/>
  <c r="J18" i="1" s="1"/>
  <c r="F18" i="1"/>
  <c r="G18" i="1" s="1"/>
  <c r="L17" i="1"/>
  <c r="M17" i="1" s="1"/>
  <c r="I17" i="1"/>
  <c r="J17" i="1" s="1"/>
  <c r="F17" i="1"/>
  <c r="G17" i="1" s="1"/>
  <c r="L16" i="1"/>
  <c r="M16" i="1" s="1"/>
  <c r="J16" i="1"/>
  <c r="I16" i="1"/>
  <c r="F16" i="1"/>
  <c r="G16" i="1" s="1"/>
  <c r="L15" i="1"/>
  <c r="M15" i="1" s="1"/>
  <c r="I15" i="1"/>
  <c r="J15" i="1" s="1"/>
  <c r="G15" i="1"/>
  <c r="F15" i="1"/>
  <c r="M14" i="1"/>
  <c r="L14" i="1"/>
  <c r="I14" i="1"/>
  <c r="J14" i="1" s="1"/>
  <c r="F14" i="1"/>
  <c r="G14" i="1" s="1"/>
  <c r="L13" i="1"/>
  <c r="M13" i="1" s="1"/>
  <c r="I13" i="1"/>
  <c r="J13" i="1" s="1"/>
  <c r="F13" i="1"/>
  <c r="G13" i="1" s="1"/>
  <c r="L12" i="1"/>
  <c r="M12" i="1" s="1"/>
  <c r="I12" i="1"/>
  <c r="J12" i="1" s="1"/>
  <c r="F12" i="1"/>
  <c r="G12" i="1" s="1"/>
  <c r="L11" i="1"/>
  <c r="M11" i="1" s="1"/>
  <c r="I11" i="1"/>
  <c r="J11" i="1" s="1"/>
  <c r="F11" i="1"/>
  <c r="G11" i="1" s="1"/>
  <c r="L10" i="1"/>
  <c r="M10" i="1" s="1"/>
  <c r="J10" i="1"/>
  <c r="I10" i="1"/>
  <c r="F10" i="1"/>
  <c r="G10" i="1" s="1"/>
  <c r="L9" i="1"/>
  <c r="M9" i="1" s="1"/>
  <c r="J9" i="1"/>
  <c r="I9" i="1"/>
  <c r="F9" i="1"/>
  <c r="G9" i="1" s="1"/>
  <c r="L8" i="1"/>
  <c r="M8" i="1" s="1"/>
  <c r="I8" i="1"/>
  <c r="J8" i="1" s="1"/>
  <c r="F8" i="1"/>
  <c r="G8" i="1" s="1"/>
  <c r="L7" i="1"/>
  <c r="M7" i="1" s="1"/>
  <c r="I7" i="1"/>
  <c r="J7" i="1" s="1"/>
  <c r="F7" i="1"/>
  <c r="G7" i="1" s="1"/>
  <c r="L6" i="1"/>
  <c r="M6" i="1" s="1"/>
  <c r="J6" i="1"/>
  <c r="I6" i="1"/>
  <c r="F6" i="1"/>
  <c r="G6" i="1" s="1"/>
  <c r="V5" i="1"/>
  <c r="U5" i="1"/>
  <c r="Q22" i="1" s="1"/>
  <c r="L5" i="1"/>
  <c r="M5" i="1" s="1"/>
  <c r="J5" i="1"/>
  <c r="I5" i="1"/>
  <c r="F5" i="1"/>
  <c r="G5" i="1" s="1"/>
  <c r="V4" i="1"/>
  <c r="P3" i="1" s="1"/>
  <c r="U4" i="1"/>
  <c r="P50" i="1" s="1"/>
  <c r="P4" i="1"/>
  <c r="L4" i="1"/>
  <c r="M4" i="1" s="1"/>
  <c r="I4" i="1"/>
  <c r="J4" i="1" s="1"/>
  <c r="F4" i="1"/>
  <c r="G4" i="1" s="1"/>
  <c r="V3" i="1"/>
  <c r="U3" i="1"/>
  <c r="L3" i="1"/>
  <c r="M3" i="1" s="1"/>
  <c r="I3" i="1"/>
  <c r="J3" i="1" s="1"/>
  <c r="G3" i="1"/>
  <c r="F3" i="1"/>
  <c r="M2" i="1"/>
  <c r="L2" i="1"/>
  <c r="I2" i="1"/>
  <c r="J2" i="1" s="1"/>
  <c r="F2" i="1"/>
  <c r="G2" i="1" s="1"/>
  <c r="P40" i="1" l="1"/>
  <c r="P48" i="1"/>
  <c r="Q40" i="1"/>
  <c r="P54" i="1"/>
  <c r="P36" i="1"/>
  <c r="P57" i="1"/>
  <c r="O20" i="1"/>
  <c r="R20" i="1" s="1"/>
  <c r="P53" i="1"/>
  <c r="Q13" i="1"/>
  <c r="Q19" i="1"/>
  <c r="P22" i="1"/>
  <c r="P29" i="1"/>
  <c r="Q35" i="1"/>
  <c r="P41" i="1"/>
  <c r="P56" i="1"/>
  <c r="Q2" i="1"/>
  <c r="P59" i="1"/>
  <c r="Q11" i="1"/>
  <c r="Q14" i="1"/>
  <c r="Q20" i="1"/>
  <c r="Q27" i="1"/>
  <c r="Q30" i="1"/>
  <c r="Q33" i="1"/>
  <c r="Q51" i="1"/>
  <c r="Q6" i="1"/>
  <c r="Q49" i="1"/>
  <c r="Q52" i="1"/>
  <c r="P13" i="1"/>
  <c r="P19" i="1"/>
  <c r="P10" i="1"/>
  <c r="P16" i="1"/>
  <c r="P26" i="1"/>
  <c r="Q29" i="1"/>
  <c r="P32" i="1"/>
  <c r="P38" i="1"/>
  <c r="P44" i="1"/>
  <c r="Q56" i="1"/>
  <c r="P2" i="1"/>
  <c r="Q7" i="1"/>
  <c r="Q10" i="1"/>
  <c r="Q16" i="1"/>
  <c r="Q26" i="1"/>
  <c r="Q32" i="1"/>
  <c r="P47" i="1"/>
  <c r="O59" i="1"/>
  <c r="O23" i="1"/>
  <c r="Q53" i="1"/>
  <c r="Q59" i="1"/>
  <c r="P5" i="1"/>
  <c r="O14" i="1"/>
  <c r="P23" i="1"/>
  <c r="P39" i="1"/>
  <c r="P42" i="1"/>
  <c r="P45" i="1"/>
  <c r="Q5" i="1"/>
  <c r="P8" i="1"/>
  <c r="P11" i="1"/>
  <c r="P14" i="1"/>
  <c r="P17" i="1"/>
  <c r="P20" i="1"/>
  <c r="Q23" i="1"/>
  <c r="P27" i="1"/>
  <c r="P30" i="1"/>
  <c r="P33" i="1"/>
  <c r="O36" i="1"/>
  <c r="R36" i="1" s="1"/>
  <c r="Q42" i="1"/>
  <c r="Q45" i="1"/>
  <c r="P51" i="1"/>
  <c r="P24" i="1"/>
  <c r="Q17" i="1"/>
  <c r="Q50" i="1"/>
  <c r="Q36" i="1"/>
  <c r="Q48" i="1"/>
  <c r="O30" i="1"/>
  <c r="P9" i="1"/>
  <c r="P12" i="1"/>
  <c r="Q24" i="1"/>
  <c r="P28" i="1"/>
  <c r="O43" i="1"/>
  <c r="P46" i="1"/>
  <c r="P61" i="1"/>
  <c r="Q9" i="1"/>
  <c r="P15" i="1"/>
  <c r="Q21" i="1"/>
  <c r="P25" i="1"/>
  <c r="P43" i="1"/>
  <c r="Q46" i="1"/>
  <c r="O52" i="1"/>
  <c r="P55" i="1"/>
  <c r="P58" i="1"/>
  <c r="P6" i="1"/>
  <c r="P31" i="1"/>
  <c r="Q37" i="1"/>
  <c r="Q43" i="1"/>
  <c r="P49" i="1"/>
  <c r="P52" i="1"/>
  <c r="Q58" i="1"/>
  <c r="O33" i="1"/>
  <c r="O49" i="1"/>
  <c r="O6" i="1"/>
  <c r="O46" i="1"/>
  <c r="V8" i="1"/>
  <c r="U8" i="1"/>
  <c r="G64" i="1"/>
  <c r="O39" i="1"/>
  <c r="O10" i="1"/>
  <c r="O11" i="1"/>
  <c r="O56" i="1"/>
  <c r="O40" i="1"/>
  <c r="R40" i="1" s="1"/>
  <c r="O24" i="1"/>
  <c r="O18" i="1"/>
  <c r="O28" i="1"/>
  <c r="O12" i="1"/>
  <c r="O25" i="1"/>
  <c r="O38" i="1"/>
  <c r="R38" i="1" s="1"/>
  <c r="O22" i="1"/>
  <c r="O8" i="1"/>
  <c r="O4" i="1"/>
  <c r="O48" i="1"/>
  <c r="O16" i="1"/>
  <c r="O58" i="1"/>
  <c r="O53" i="1"/>
  <c r="O37" i="1"/>
  <c r="O21" i="1"/>
  <c r="O7" i="1"/>
  <c r="O50" i="1"/>
  <c r="R50" i="1" s="1"/>
  <c r="O34" i="1"/>
  <c r="O15" i="1"/>
  <c r="O3" i="1"/>
  <c r="R3" i="1" s="1"/>
  <c r="O57" i="1"/>
  <c r="O41" i="1"/>
  <c r="O54" i="1"/>
  <c r="R54" i="1" s="1"/>
  <c r="O32" i="1"/>
  <c r="O42" i="1"/>
  <c r="O47" i="1"/>
  <c r="O31" i="1"/>
  <c r="O60" i="1"/>
  <c r="O44" i="1"/>
  <c r="O51" i="1"/>
  <c r="O35" i="1"/>
  <c r="O19" i="1"/>
  <c r="R19" i="1" s="1"/>
  <c r="O61" i="1"/>
  <c r="O45" i="1"/>
  <c r="O29" i="1"/>
  <c r="R29" i="1" s="1"/>
  <c r="O13" i="1"/>
  <c r="R13" i="1" s="1"/>
  <c r="O9" i="1"/>
  <c r="O5" i="1"/>
  <c r="O55" i="1"/>
  <c r="U9" i="1"/>
  <c r="V9" i="1"/>
  <c r="J64" i="1"/>
  <c r="M64" i="1"/>
  <c r="V10" i="1"/>
  <c r="U10" i="1"/>
  <c r="O17" i="1"/>
  <c r="O2" i="1"/>
  <c r="O26" i="1"/>
  <c r="O27" i="1"/>
  <c r="Q39" i="1"/>
  <c r="Q55" i="1"/>
  <c r="Q61" i="1"/>
  <c r="Q38" i="1"/>
  <c r="Q54" i="1"/>
  <c r="Q41" i="1"/>
  <c r="Q57" i="1"/>
  <c r="P60" i="1"/>
  <c r="Q8" i="1"/>
  <c r="Q25" i="1"/>
  <c r="Q44" i="1"/>
  <c r="Q60" i="1"/>
  <c r="Q3" i="1"/>
  <c r="Q15" i="1"/>
  <c r="P18" i="1"/>
  <c r="Q31" i="1"/>
  <c r="P34" i="1"/>
  <c r="Q47" i="1"/>
  <c r="Q4" i="1"/>
  <c r="Q12" i="1"/>
  <c r="Q28" i="1"/>
  <c r="P7" i="1"/>
  <c r="Q18" i="1"/>
  <c r="P21" i="1"/>
  <c r="Q34" i="1"/>
  <c r="P37" i="1"/>
  <c r="R26" i="1" l="1"/>
  <c r="R16" i="1"/>
  <c r="R48" i="1"/>
  <c r="R42" i="1"/>
  <c r="R4" i="1"/>
  <c r="R55" i="1"/>
  <c r="R22" i="1"/>
  <c r="R32" i="1"/>
  <c r="R46" i="1"/>
  <c r="R6" i="1"/>
  <c r="R49" i="1"/>
  <c r="R9" i="1"/>
  <c r="R43" i="1"/>
  <c r="S43" i="1" s="1"/>
  <c r="R14" i="1"/>
  <c r="R24" i="1"/>
  <c r="R5" i="1"/>
  <c r="S36" i="1" s="1"/>
  <c r="R45" i="1"/>
  <c r="R27" i="1"/>
  <c r="R23" i="1"/>
  <c r="R2" i="1"/>
  <c r="R35" i="1"/>
  <c r="R56" i="1"/>
  <c r="R59" i="1"/>
  <c r="R17" i="1"/>
  <c r="R51" i="1"/>
  <c r="R11" i="1"/>
  <c r="R53" i="1"/>
  <c r="R10" i="1"/>
  <c r="R30" i="1"/>
  <c r="R60" i="1"/>
  <c r="R58" i="1"/>
  <c r="R39" i="1"/>
  <c r="R31" i="1"/>
  <c r="R52" i="1"/>
  <c r="R33" i="1"/>
  <c r="R47" i="1"/>
  <c r="R61" i="1"/>
  <c r="R41" i="1"/>
  <c r="R25" i="1"/>
  <c r="R12" i="1"/>
  <c r="R15" i="1"/>
  <c r="R28" i="1"/>
  <c r="R34" i="1"/>
  <c r="R18" i="1"/>
  <c r="R7" i="1"/>
  <c r="R8" i="1"/>
  <c r="R57" i="1"/>
  <c r="R21" i="1"/>
  <c r="R37" i="1"/>
  <c r="R44" i="1"/>
  <c r="S21" i="1" l="1"/>
  <c r="S13" i="1"/>
  <c r="S9" i="1"/>
  <c r="S25" i="1"/>
  <c r="S56" i="1"/>
  <c r="S59" i="1"/>
  <c r="S5" i="1"/>
  <c r="S54" i="1"/>
  <c r="S46" i="1"/>
  <c r="S4" i="1"/>
  <c r="S57" i="1"/>
  <c r="S31" i="1"/>
  <c r="S14" i="1"/>
  <c r="S39" i="1"/>
  <c r="S24" i="1"/>
  <c r="S26" i="1"/>
  <c r="S6" i="1"/>
  <c r="S30" i="1"/>
  <c r="S27" i="1"/>
  <c r="S52" i="1"/>
  <c r="S18" i="1"/>
  <c r="S49" i="1"/>
  <c r="S37" i="1"/>
  <c r="S32" i="1"/>
  <c r="S34" i="1"/>
  <c r="S29" i="1"/>
  <c r="S41" i="1"/>
  <c r="S8" i="1"/>
  <c r="S60" i="1"/>
  <c r="S40" i="1"/>
  <c r="S38" i="1"/>
  <c r="S11" i="1"/>
  <c r="S53" i="1"/>
  <c r="S61" i="1"/>
  <c r="S50" i="1"/>
  <c r="S45" i="1"/>
  <c r="S51" i="1"/>
  <c r="S42" i="1"/>
  <c r="S28" i="1"/>
  <c r="S35" i="1"/>
  <c r="S2" i="1"/>
  <c r="S3" i="1"/>
  <c r="S47" i="1"/>
  <c r="S7" i="1"/>
  <c r="S19" i="1"/>
  <c r="S58" i="1"/>
  <c r="S44" i="1"/>
  <c r="S33" i="1"/>
  <c r="S23" i="1"/>
  <c r="S55" i="1"/>
  <c r="S17" i="1"/>
  <c r="S48" i="1"/>
  <c r="S15" i="1"/>
  <c r="S22" i="1"/>
  <c r="S20" i="1"/>
  <c r="S16" i="1"/>
  <c r="S12" i="1"/>
  <c r="S10" i="1"/>
</calcChain>
</file>

<file path=xl/sharedStrings.xml><?xml version="1.0" encoding="utf-8"?>
<sst xmlns="http://schemas.openxmlformats.org/spreadsheetml/2006/main" count="111" uniqueCount="32">
  <si>
    <t>SS</t>
  </si>
  <si>
    <t>FR</t>
  </si>
  <si>
    <t>DD</t>
  </si>
  <si>
    <t>D</t>
  </si>
  <si>
    <t>AL</t>
  </si>
  <si>
    <t>Predicted</t>
  </si>
  <si>
    <t>Error</t>
  </si>
  <si>
    <t>SiC</t>
  </si>
  <si>
    <t xml:space="preserve">Neat </t>
  </si>
  <si>
    <t>Desirability index</t>
  </si>
  <si>
    <t>Composite desirability</t>
  </si>
  <si>
    <t>Rank</t>
  </si>
  <si>
    <t>Step</t>
  </si>
  <si>
    <t>Burr area</t>
  </si>
  <si>
    <t>Min</t>
  </si>
  <si>
    <t>Max</t>
  </si>
  <si>
    <t>Core</t>
  </si>
  <si>
    <t>Al</t>
  </si>
  <si>
    <t>Twist</t>
  </si>
  <si>
    <t>Neat</t>
  </si>
  <si>
    <t>Error %</t>
  </si>
  <si>
    <t>Al core</t>
  </si>
  <si>
    <t>SiC core</t>
  </si>
  <si>
    <t>Neat core</t>
  </si>
  <si>
    <t>AL step</t>
  </si>
  <si>
    <t>Sic step</t>
  </si>
  <si>
    <t>Neat step</t>
  </si>
  <si>
    <t>Al twist</t>
  </si>
  <si>
    <t>SiC twist</t>
  </si>
  <si>
    <t>Al step</t>
  </si>
  <si>
    <t>SiC step</t>
  </si>
  <si>
    <t>Neat twist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</si>
</sst>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65" fontId="1" fillId="2" borderId="1" xfId="0" applyNumberFormat="1" applyFont="1" applyFill="1" applyBorder="1"/>
    <xf numFmtId="2" fontId="0" fillId="2" borderId="1" xfId="0" applyNumberFormat="1" applyFill="1" applyBorder="1"/>
    <xf numFmtId="165" fontId="0" fillId="0" borderId="0" xfId="0" applyNumberFormat="1"/>
    <xf numFmtId="2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3812-F550-407A-9015-1D6BDE663701}">
  <dimension ref="A1:V86"/>
  <sheetViews>
    <sheetView tabSelected="1" zoomScale="83" workbookViewId="0">
      <selection activeCell="L13" sqref="L13"/>
    </sheetView>
  </sheetViews>
  <sheetFormatPr defaultRowHeight="15.6" x14ac:dyDescent="0.3"/>
  <cols>
    <col min="1" max="12" width="8.88671875" style="2"/>
    <col min="15" max="18" width="8.88671875" style="3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6</v>
      </c>
      <c r="K1" s="1" t="s">
        <v>8</v>
      </c>
      <c r="L1" s="1" t="s">
        <v>5</v>
      </c>
      <c r="M1" s="1" t="s">
        <v>6</v>
      </c>
      <c r="N1" s="2"/>
      <c r="O1" s="3" t="s">
        <v>9</v>
      </c>
      <c r="R1" s="3" t="s">
        <v>10</v>
      </c>
      <c r="S1" t="s">
        <v>11</v>
      </c>
    </row>
    <row r="2" spans="1:22" x14ac:dyDescent="0.3">
      <c r="A2" s="1">
        <v>5500</v>
      </c>
      <c r="B2" s="1">
        <v>0.01</v>
      </c>
      <c r="C2" s="1">
        <v>8</v>
      </c>
      <c r="D2" s="1" t="s">
        <v>12</v>
      </c>
      <c r="E2" s="1">
        <v>0.66600000000000004</v>
      </c>
      <c r="F2" s="4">
        <f>0.4613 - 0.000019 *A2 - 0.03 *B2 + 0.04575* C2 + 15.9 *B2*B2
- 0.001936 *C2*C2 + 0.000017 *A2*B2 + 0.000001 *A2*C2 + 0.0042 *B2*C2</f>
        <v>0.64545699999999995</v>
      </c>
      <c r="G2" s="4">
        <f xml:space="preserve"> ((E2-F2)/E2)*100</f>
        <v>3.0845345345345478</v>
      </c>
      <c r="H2" s="1">
        <v>0.71199999999999997</v>
      </c>
      <c r="I2" s="4">
        <f xml:space="preserve"> 0.5715 - 0.000007 *A2 - 0.27* B2 + 0.01353 *C2 + 21.1 *B2*B2
+ 0.00111 *C2*C2 - 0.000067 *A2*B2 - 0.000001 *A2*C2 + 0.0708* B2*C2</f>
        <v>0.66966899999999985</v>
      </c>
      <c r="J2" s="4">
        <f xml:space="preserve"> ((H2-I2)/H2)*100</f>
        <v>5.9453651685393423</v>
      </c>
      <c r="K2" s="1">
        <v>1.018</v>
      </c>
      <c r="L2" s="4">
        <f>0.8217 - 0.000003* A2 - 0.242 *B2 + 0.03472* C2 + 11.4 *B2*B2
- 0.000841 *C2*C2+ 0.000025 *A2*B2 + 0.0167 *B2*C2</f>
        <v>1.0305669999999998</v>
      </c>
      <c r="M2" s="5">
        <f>((K2-L2)/K2)*100</f>
        <v>-1.234479371316284</v>
      </c>
      <c r="O2" s="3">
        <f t="shared" ref="O2:O61" si="0">((E2-$V$3)/($U$3-$V$3))</f>
        <v>0.69038461538461526</v>
      </c>
      <c r="P2" s="3">
        <f t="shared" ref="P2:P61" si="1">(H2-$V$4)/($U$4-$V$4)</f>
        <v>0.75336322869955163</v>
      </c>
      <c r="Q2" s="3">
        <f t="shared" ref="Q2:Q61" si="2">(K2-$V$5)/($U$5-$V$5)</f>
        <v>0.67845659163987149</v>
      </c>
      <c r="R2" s="3">
        <f>(O2*P2*Q2)^(1/2)</f>
        <v>0.59403056962794454</v>
      </c>
      <c r="S2">
        <f>RANK(R2,$R$2:$R$61)</f>
        <v>16</v>
      </c>
      <c r="T2" t="s">
        <v>13</v>
      </c>
      <c r="U2" t="s">
        <v>14</v>
      </c>
      <c r="V2" t="s">
        <v>15</v>
      </c>
    </row>
    <row r="3" spans="1:22" x14ac:dyDescent="0.3">
      <c r="A3" s="1">
        <v>5500</v>
      </c>
      <c r="B3" s="1">
        <v>0.01</v>
      </c>
      <c r="C3" s="1">
        <v>8</v>
      </c>
      <c r="D3" s="1" t="s">
        <v>16</v>
      </c>
      <c r="E3" s="1">
        <v>0.997</v>
      </c>
      <c r="F3" s="4">
        <f xml:space="preserve"> 0.7914 - 0.000016 *A3 - 0.35 *B3 + 0.04505 *C3 + 15.9* B3*B3
- 0.001936 *C3*C3 + 0.000017 *A3*B3 + 0.000001 *A3*C3 + 0.0042 *B3*C3</f>
        <v>0.98325700000000005</v>
      </c>
      <c r="G3" s="4">
        <f t="shared" ref="G3:G61" si="3" xml:space="preserve"> ((E3-F3)/E3)*100</f>
        <v>1.3784353059177481</v>
      </c>
      <c r="H3" s="1">
        <v>1.0049999999999999</v>
      </c>
      <c r="I3" s="4">
        <f xml:space="preserve"> 0.8754 - 0.000006*A3 - 0.46 *B3 + 0.01203* C3 + 21.1* B3*B3
+ 0.00111 *C3*C3 - 0.000067 *A3*B3 - 0.000001 *A3*C3 + 0.0708 *B3*C3</f>
        <v>0.96516899999999983</v>
      </c>
      <c r="J3" s="4">
        <f t="shared" ref="J3:J61" si="4" xml:space="preserve"> ((H3-I3)/H3)*100</f>
        <v>3.9632835820895584</v>
      </c>
      <c r="K3" s="1">
        <v>1.2050000000000001</v>
      </c>
      <c r="L3" s="4">
        <f xml:space="preserve"> 1.0719 - 0.000001* A3 - 0.262 *B3 + 0.02572 *C3 + 11.4* B3*B3
- 0.000841 *C3*C3 + 0.000025 *A3*B3 + 0.0167 *B3*C3</f>
        <v>1.2195669999999996</v>
      </c>
      <c r="M3" s="5">
        <f t="shared" ref="M3:M61" si="5">((K3-L3)/K3)*100</f>
        <v>-1.2088796680497553</v>
      </c>
      <c r="O3" s="3">
        <f t="shared" si="0"/>
        <v>5.384615384615369E-2</v>
      </c>
      <c r="P3" s="3">
        <f t="shared" si="1"/>
        <v>9.6412556053811979E-2</v>
      </c>
      <c r="Q3" s="3">
        <f t="shared" si="2"/>
        <v>7.717041800643093E-2</v>
      </c>
      <c r="R3" s="3">
        <f t="shared" ref="R3:R61" si="6">(O3*P3*Q3)^(1/2)</f>
        <v>2.0015644028184114E-2</v>
      </c>
      <c r="S3">
        <f t="shared" ref="S3:S61" si="7">RANK(R3,$R$2:$R$61)</f>
        <v>56</v>
      </c>
      <c r="T3" t="s">
        <v>17</v>
      </c>
      <c r="U3" s="6">
        <f>MIN(E2:E61)</f>
        <v>0.505</v>
      </c>
      <c r="V3">
        <f>MAX(E2:E61)</f>
        <v>1.0249999999999999</v>
      </c>
    </row>
    <row r="4" spans="1:22" x14ac:dyDescent="0.3">
      <c r="A4" s="1">
        <v>5500</v>
      </c>
      <c r="B4" s="1">
        <v>0.02</v>
      </c>
      <c r="C4" s="1">
        <v>6</v>
      </c>
      <c r="D4" s="1" t="s">
        <v>16</v>
      </c>
      <c r="E4" s="1">
        <v>0.93500000000000005</v>
      </c>
      <c r="F4" s="4">
        <f xml:space="preserve"> 0.7914 - 0.000016 *A4 - 0.35 *B4 + 0.04505 *C4 + 15.9* B4*B4
- 0.001936 *C4*C4 + 0.000017 *A4*B4 + 0.000001 *A4*C4 + 0.0042 *B4*C4</f>
        <v>0.93873800000000007</v>
      </c>
      <c r="G4" s="4">
        <f t="shared" si="3"/>
        <v>-0.39978609625668654</v>
      </c>
      <c r="H4" s="1">
        <v>0.94099999999999995</v>
      </c>
      <c r="I4" s="4">
        <f xml:space="preserve"> 0.8754 - 0.000006*A4 - 0.46 *B4 + 0.01203* C4 + 21.1* B4*B4
+ 0.00111 *C4*C4 - 0.000067 *A4*B4 - 0.000001 *A4*C4 + 0.0708 *B4*C4</f>
        <v>0.92190599999999989</v>
      </c>
      <c r="J4" s="4">
        <f t="shared" si="4"/>
        <v>2.0291179596174342</v>
      </c>
      <c r="K4" s="1">
        <v>1.1759999999999999</v>
      </c>
      <c r="L4" s="4">
        <f xml:space="preserve"> 1.0719 - 0.000001* A4 - 0.262 *B4 + 0.02572 *C4 + 11.4* B4*B4
- 0.000841 *C4*C4 + 0.000025 *A4*B4 + 0.0167 *B4*C4</f>
        <v>1.194518</v>
      </c>
      <c r="M4" s="5">
        <f t="shared" si="5"/>
        <v>-1.5746598639455811</v>
      </c>
      <c r="O4" s="3">
        <f t="shared" si="0"/>
        <v>0.17307692307692282</v>
      </c>
      <c r="P4" s="3">
        <f t="shared" si="1"/>
        <v>0.23991031390134548</v>
      </c>
      <c r="Q4" s="3">
        <f t="shared" si="2"/>
        <v>0.17041800643086866</v>
      </c>
      <c r="R4" s="3">
        <f t="shared" si="6"/>
        <v>8.4120487849668107E-2</v>
      </c>
      <c r="S4">
        <f t="shared" si="7"/>
        <v>46</v>
      </c>
      <c r="T4" t="s">
        <v>7</v>
      </c>
      <c r="U4">
        <f>MIN(H2:H61)</f>
        <v>0.60199999999999998</v>
      </c>
      <c r="V4">
        <f>MAX(H2:H61)</f>
        <v>1.048</v>
      </c>
    </row>
    <row r="5" spans="1:22" x14ac:dyDescent="0.3">
      <c r="A5" s="1">
        <v>1500</v>
      </c>
      <c r="B5" s="1">
        <v>0.01</v>
      </c>
      <c r="C5" s="1">
        <v>4</v>
      </c>
      <c r="D5" s="1" t="s">
        <v>18</v>
      </c>
      <c r="E5" s="1">
        <v>0.753</v>
      </c>
      <c r="F5" s="4">
        <f>0.6207 - 0.000019 *A5 - 0.05 *B5 + 0.04495* C5 + 15.9 *B5*B5
- 0.001936 *C5*C5 + 0.000017 *A5*B5 + 0.000001 *A5*C5 + 0.0042 *B5*C5</f>
        <v>0.74853700000000001</v>
      </c>
      <c r="G5" s="4">
        <f t="shared" si="3"/>
        <v>0.59269588313412946</v>
      </c>
      <c r="H5" s="1">
        <v>0.77600000000000002</v>
      </c>
      <c r="I5" s="4">
        <f xml:space="preserve"> 0.7436 - 0.000007 *A5 - 0.41 *B5 + 0.00578 *C5 + 21.1 *B5*B5
+ 0.00111 *C5*C5 - 0.000067 *A5*B5 - 0.000001 *A5*C5+ 0.0708* B5*C5</f>
        <v>0.76781699999999997</v>
      </c>
      <c r="J5" s="4">
        <f t="shared" si="4"/>
        <v>1.054510309278357</v>
      </c>
      <c r="K5" s="1">
        <v>1.069</v>
      </c>
      <c r="L5" s="4">
        <f xml:space="preserve">  0.983 - 0.000002 *A5 - 0.292 *B5 + 0.02482* C5 + 11.4 *B5*B5
- 0.000841 *C5*C5 + 0.000025 *A5*B5 + 0.0167* B5*C5</f>
        <v>1.0650869999999999</v>
      </c>
      <c r="M5" s="5">
        <f t="shared" si="5"/>
        <v>0.36604303086997714</v>
      </c>
      <c r="O5" s="3">
        <f t="shared" si="0"/>
        <v>0.52307692307692299</v>
      </c>
      <c r="P5" s="3">
        <f t="shared" si="1"/>
        <v>0.60986547085201792</v>
      </c>
      <c r="Q5" s="3">
        <f t="shared" si="2"/>
        <v>0.5144694533762062</v>
      </c>
      <c r="R5" s="3">
        <f t="shared" si="6"/>
        <v>0.40511619006359623</v>
      </c>
      <c r="S5">
        <f t="shared" si="7"/>
        <v>24</v>
      </c>
      <c r="T5" t="s">
        <v>19</v>
      </c>
      <c r="U5">
        <f>MIN(K2:K61)</f>
        <v>0.91800000000000004</v>
      </c>
      <c r="V5">
        <f>MAX(K2:K61)</f>
        <v>1.2290000000000001</v>
      </c>
    </row>
    <row r="6" spans="1:22" x14ac:dyDescent="0.3">
      <c r="A6" s="1">
        <v>3500</v>
      </c>
      <c r="B6" s="1">
        <v>0.02</v>
      </c>
      <c r="C6" s="1">
        <v>6</v>
      </c>
      <c r="D6" s="1" t="s">
        <v>12</v>
      </c>
      <c r="E6" s="1">
        <v>0.63500000000000001</v>
      </c>
      <c r="F6" s="4">
        <f>0.4613 - 0.000019 *A6 - 0.03 *B6 + 0.04575* C6 + 15.9 *B6*B6
- 0.001936 *C6*C6 + 0.000017 *A6*B6 + 0.000001 *A6*C6 + 0.0042 *B6*C6</f>
        <v>0.62805800000000001</v>
      </c>
      <c r="G6" s="4">
        <f t="shared" si="3"/>
        <v>1.0932283464566934</v>
      </c>
      <c r="H6" s="1">
        <v>0.67200000000000004</v>
      </c>
      <c r="I6" s="4">
        <f xml:space="preserve"> 0.5715 - 0.000007 *A6 - 0.27* B6 + 0.01353 *C6 + 21.1 *B6*B6
+ 0.00111 *C6*C6 - 0.000067 *A6*B6 - 0.000001 *A6*C6 + 0.0708* B6*C6</f>
        <v>0.65398600000000007</v>
      </c>
      <c r="J6" s="4">
        <f t="shared" si="4"/>
        <v>2.680654761904758</v>
      </c>
      <c r="K6" s="1">
        <v>0.99299999999999999</v>
      </c>
      <c r="L6" s="4">
        <f>0.8217 - 0.000003* A6 - 0.242 *B6 + 0.03472* C6 + 11.4 *B6*B6
- 0.000841 *C6*C6+ 0.000025 *A6*B6 + 0.0167 *B6*C6</f>
        <v>0.99271799999999999</v>
      </c>
      <c r="M6" s="5">
        <f t="shared" si="5"/>
        <v>2.8398791540785947E-2</v>
      </c>
      <c r="O6" s="3">
        <f t="shared" si="0"/>
        <v>0.75</v>
      </c>
      <c r="P6" s="3">
        <f t="shared" si="1"/>
        <v>0.84304932735425997</v>
      </c>
      <c r="Q6" s="3">
        <f t="shared" si="2"/>
        <v>0.75884244372990373</v>
      </c>
      <c r="R6" s="3">
        <f t="shared" si="6"/>
        <v>0.69268045216807494</v>
      </c>
      <c r="S6">
        <f t="shared" si="7"/>
        <v>8</v>
      </c>
    </row>
    <row r="7" spans="1:22" x14ac:dyDescent="0.3">
      <c r="A7" s="1">
        <v>1500</v>
      </c>
      <c r="B7" s="1">
        <v>0.01</v>
      </c>
      <c r="C7" s="1">
        <v>4</v>
      </c>
      <c r="D7" s="1" t="s">
        <v>16</v>
      </c>
      <c r="E7" s="1">
        <v>0.91500000000000004</v>
      </c>
      <c r="F7" s="4">
        <f xml:space="preserve"> 0.7914 - 0.000016 *A7 - 0.35 *B7 + 0.04505 *C7 + 15.9* B7*B7
- 0.001936 *C7*C7 + 0.000017 *A7*B7 + 0.000001 *A7*C7 + 0.0042 *B7*C7</f>
        <v>0.92113699999999998</v>
      </c>
      <c r="G7" s="4">
        <f t="shared" si="3"/>
        <v>-0.67071038251365556</v>
      </c>
      <c r="H7" s="1">
        <v>0.92700000000000005</v>
      </c>
      <c r="I7" s="4">
        <f xml:space="preserve"> 0.8754 - 0.000006*A7 - 0.46 *B7 + 0.01203* C7 + 21.1* B7*B7
+ 0.00111 *C7*C7 - 0.000067 *A7*B7 - 0.000001 *A7*C7 + 0.0708 *B7*C7</f>
        <v>0.9256169999999998</v>
      </c>
      <c r="J7" s="4">
        <f t="shared" si="4"/>
        <v>0.14919093851135329</v>
      </c>
      <c r="K7" s="1">
        <v>1.159</v>
      </c>
      <c r="L7" s="4">
        <f xml:space="preserve"> 1.0719 - 0.000001* A7 - 0.262 *B7 + 0.02572 *C7 + 11.4* B7*B7
- 0.000841 *C7*C7 + 0.000025 *A7*B7 + 0.0167 *B7*C7</f>
        <v>1.1593869999999999</v>
      </c>
      <c r="M7" s="5">
        <f t="shared" si="5"/>
        <v>-3.3390854184634618E-2</v>
      </c>
      <c r="O7" s="3">
        <f t="shared" si="0"/>
        <v>0.21153846153846134</v>
      </c>
      <c r="P7" s="3">
        <f t="shared" si="1"/>
        <v>0.27130044843049322</v>
      </c>
      <c r="Q7" s="3">
        <f t="shared" si="2"/>
        <v>0.2250803858520902</v>
      </c>
      <c r="R7" s="3">
        <f t="shared" si="6"/>
        <v>0.11365505384549686</v>
      </c>
      <c r="S7">
        <f t="shared" si="7"/>
        <v>44</v>
      </c>
      <c r="T7" t="s">
        <v>20</v>
      </c>
      <c r="U7" t="s">
        <v>14</v>
      </c>
      <c r="V7" t="s">
        <v>15</v>
      </c>
    </row>
    <row r="8" spans="1:22" x14ac:dyDescent="0.3">
      <c r="A8" s="1">
        <v>3500</v>
      </c>
      <c r="B8" s="1">
        <v>0.01</v>
      </c>
      <c r="C8" s="1">
        <v>6</v>
      </c>
      <c r="D8" s="1" t="s">
        <v>12</v>
      </c>
      <c r="E8" s="1">
        <v>0.622</v>
      </c>
      <c r="F8" s="4">
        <f t="shared" ref="F8:F9" si="8">0.4613 - 0.000019 *A8 - 0.03 *B8 + 0.04575* C8 + 15.9 *B8*B8
- 0.001936 *C8*C8 + 0.000017 *A8*B8 + 0.000001 *A8*C8 + 0.0042 *B8*C8</f>
        <v>0.62274099999999999</v>
      </c>
      <c r="G8" s="4">
        <f t="shared" si="3"/>
        <v>-0.11913183279742633</v>
      </c>
      <c r="H8" s="1">
        <v>0.66400000000000003</v>
      </c>
      <c r="I8" s="4">
        <f t="shared" ref="I8:I9" si="9" xml:space="preserve"> 0.5715 - 0.000007 *A8 - 0.27* B8 + 0.01353 *C8 + 21.1 *B8*B8
+ 0.00111 *C8*C8 - 0.000067 *A8*B8 - 0.000001 *A8*C8 + 0.0708* B8*C8</f>
        <v>0.64845299999999995</v>
      </c>
      <c r="J8" s="4">
        <f t="shared" si="4"/>
        <v>2.3414156626506157</v>
      </c>
      <c r="K8" s="1">
        <v>0.98399999999999999</v>
      </c>
      <c r="L8" s="4">
        <f t="shared" ref="L8" si="10">0.8217 - 0.000003* A8 - 0.242 *B8 + 0.03472* C8 + 11.4 *B8*B8
- 0.000841 *C8*C8+ 0.000025 *A8*B8 + 0.0167 *B8*C8</f>
        <v>0.98984099999999997</v>
      </c>
      <c r="M8" s="5">
        <f t="shared" si="5"/>
        <v>-0.59359756097560834</v>
      </c>
      <c r="O8" s="3">
        <f t="shared" si="0"/>
        <v>0.77500000000000002</v>
      </c>
      <c r="P8" s="3">
        <f t="shared" si="1"/>
        <v>0.86098654708520173</v>
      </c>
      <c r="Q8" s="3">
        <f t="shared" si="2"/>
        <v>0.78778135048231535</v>
      </c>
      <c r="R8" s="3">
        <f t="shared" si="6"/>
        <v>0.72502316323525928</v>
      </c>
      <c r="S8">
        <f t="shared" si="7"/>
        <v>7</v>
      </c>
      <c r="T8" t="s">
        <v>17</v>
      </c>
      <c r="U8" s="7">
        <f>MIN(G2:G61)</f>
        <v>-5.5875247524752352</v>
      </c>
      <c r="V8" s="7">
        <f>MAX(G2:G61)</f>
        <v>4.5193277310924316</v>
      </c>
    </row>
    <row r="9" spans="1:22" x14ac:dyDescent="0.3">
      <c r="A9" s="1">
        <v>1500</v>
      </c>
      <c r="B9" s="1">
        <v>0.01</v>
      </c>
      <c r="C9" s="1">
        <v>4</v>
      </c>
      <c r="D9" s="1" t="s">
        <v>12</v>
      </c>
      <c r="E9" s="1">
        <v>0.60499999999999998</v>
      </c>
      <c r="F9" s="4">
        <f t="shared" si="8"/>
        <v>0.59253699999999987</v>
      </c>
      <c r="G9" s="4">
        <f t="shared" si="3"/>
        <v>2.0600000000000187</v>
      </c>
      <c r="H9" s="1">
        <v>0.63200000000000001</v>
      </c>
      <c r="I9" s="4">
        <f t="shared" si="9"/>
        <v>0.62811699999999981</v>
      </c>
      <c r="J9" s="4">
        <f t="shared" si="4"/>
        <v>0.61439873417724555</v>
      </c>
      <c r="K9" s="1">
        <v>0.93500000000000005</v>
      </c>
      <c r="L9" s="4">
        <f>0.8217 - 0.000003* A9 - 0.242 *B9 + 0.03472* C9 + 11.4 *B9*B9
- 0.000841 *C9*C9+ 0.000025 *A9*B9 + 0.0167 *B9*C9</f>
        <v>0.94238700000000009</v>
      </c>
      <c r="M9" s="5">
        <f t="shared" si="5"/>
        <v>-0.79005347593583231</v>
      </c>
      <c r="O9" s="3">
        <f t="shared" si="0"/>
        <v>0.80769230769230771</v>
      </c>
      <c r="P9" s="3">
        <f t="shared" si="1"/>
        <v>0.93273542600896853</v>
      </c>
      <c r="Q9" s="3">
        <f t="shared" si="2"/>
        <v>0.94533762057877813</v>
      </c>
      <c r="R9" s="3">
        <f t="shared" si="6"/>
        <v>0.84390911954450398</v>
      </c>
      <c r="S9">
        <f t="shared" si="7"/>
        <v>4</v>
      </c>
      <c r="T9" t="s">
        <v>7</v>
      </c>
      <c r="U9" s="7">
        <f>MIN(J2:J61)</f>
        <v>-1.3656796769851975</v>
      </c>
      <c r="V9" s="7">
        <f>MAX(J2:J61)</f>
        <v>5.9453651685393423</v>
      </c>
    </row>
    <row r="10" spans="1:22" x14ac:dyDescent="0.3">
      <c r="A10" s="1">
        <v>3500</v>
      </c>
      <c r="B10" s="1">
        <v>0.02</v>
      </c>
      <c r="C10" s="1">
        <v>6</v>
      </c>
      <c r="D10" s="1" t="s">
        <v>18</v>
      </c>
      <c r="E10" s="1">
        <v>0.78600000000000003</v>
      </c>
      <c r="F10" s="4">
        <f t="shared" ref="F10:F12" si="11">0.6207 - 0.000019 *A10 - 0.05 *B10 + 0.04495* C10 + 15.9 *B10*B10
- 0.001936 *C10*C10 + 0.000017 *A10*B10 + 0.000001 *A10*C10 + 0.0042 *B10*C10</f>
        <v>0.78225800000000001</v>
      </c>
      <c r="G10" s="4">
        <f t="shared" si="3"/>
        <v>0.47608142493638972</v>
      </c>
      <c r="H10" s="1">
        <v>0.79200000000000004</v>
      </c>
      <c r="I10" s="4">
        <f t="shared" ref="I10:I12" si="12" xml:space="preserve"> 0.7436 - 0.000007 *A10 - 0.41 *B10 + 0.00578 *C10 + 21.1 *B10*B10
+ 0.00111 *C10*C10 - 0.000067 *A10*B10 - 0.000001 *A10*C10+ 0.0708* B10*C10</f>
        <v>0.77678600000000009</v>
      </c>
      <c r="J10" s="4">
        <f t="shared" si="4"/>
        <v>1.9209595959595895</v>
      </c>
      <c r="K10" s="1">
        <v>1.089</v>
      </c>
      <c r="L10" s="4">
        <f t="shared" ref="L10:L12" si="13" xml:space="preserve">  0.983 - 0.000002 *A10 - 0.292 *B10 + 0.02482* C10 + 11.4 *B10*B10
- 0.000841 *C10*C10 + 0.000025 *A10*B10 + 0.0167* B10*C10</f>
        <v>1.0971179999999998</v>
      </c>
      <c r="M10" s="5">
        <f t="shared" si="5"/>
        <v>-0.74545454545453149</v>
      </c>
      <c r="O10" s="3">
        <f t="shared" si="0"/>
        <v>0.45961538461538448</v>
      </c>
      <c r="P10" s="3">
        <f t="shared" si="1"/>
        <v>0.57399103139013441</v>
      </c>
      <c r="Q10" s="3">
        <f t="shared" si="2"/>
        <v>0.4501607717041804</v>
      </c>
      <c r="R10" s="3">
        <f t="shared" si="6"/>
        <v>0.34461458602441442</v>
      </c>
      <c r="S10">
        <f t="shared" si="7"/>
        <v>28</v>
      </c>
      <c r="T10" t="s">
        <v>19</v>
      </c>
      <c r="U10" s="7">
        <f>MIN(M2:M61)</f>
        <v>-3.209822361546502</v>
      </c>
      <c r="V10" s="7">
        <f>MAX(M2:M61)</f>
        <v>1.2160396039603976</v>
      </c>
    </row>
    <row r="11" spans="1:22" x14ac:dyDescent="0.3">
      <c r="A11" s="1">
        <v>5500</v>
      </c>
      <c r="B11" s="1">
        <v>0.02</v>
      </c>
      <c r="C11" s="1">
        <v>6</v>
      </c>
      <c r="D11" s="1" t="s">
        <v>18</v>
      </c>
      <c r="E11" s="1">
        <v>0.77500000000000002</v>
      </c>
      <c r="F11" s="4">
        <f t="shared" si="11"/>
        <v>0.756938</v>
      </c>
      <c r="G11" s="4">
        <f t="shared" si="3"/>
        <v>2.3305806451612932</v>
      </c>
      <c r="H11" s="1">
        <v>0.78300000000000003</v>
      </c>
      <c r="I11" s="4">
        <f t="shared" si="12"/>
        <v>0.74810600000000005</v>
      </c>
      <c r="J11" s="4">
        <f t="shared" si="4"/>
        <v>4.4564495530012742</v>
      </c>
      <c r="K11" s="1">
        <v>1.0780000000000001</v>
      </c>
      <c r="L11" s="4">
        <f t="shared" si="13"/>
        <v>1.0941179999999999</v>
      </c>
      <c r="M11" s="5">
        <f t="shared" si="5"/>
        <v>-1.4951762523190959</v>
      </c>
      <c r="O11" s="3">
        <f t="shared" si="0"/>
        <v>0.48076923076923062</v>
      </c>
      <c r="P11" s="3">
        <f t="shared" si="1"/>
        <v>0.59417040358744388</v>
      </c>
      <c r="Q11" s="3">
        <f t="shared" si="2"/>
        <v>0.48553054662379419</v>
      </c>
      <c r="R11" s="3">
        <f t="shared" si="6"/>
        <v>0.37241924837259632</v>
      </c>
      <c r="S11">
        <f t="shared" si="7"/>
        <v>26</v>
      </c>
    </row>
    <row r="12" spans="1:22" x14ac:dyDescent="0.3">
      <c r="A12" s="1">
        <v>5500</v>
      </c>
      <c r="B12" s="1">
        <v>0.03</v>
      </c>
      <c r="C12" s="1">
        <v>8</v>
      </c>
      <c r="D12" s="1" t="s">
        <v>18</v>
      </c>
      <c r="E12" s="1">
        <v>0.82099999999999995</v>
      </c>
      <c r="F12" s="4">
        <f t="shared" si="11"/>
        <v>0.8125190000000001</v>
      </c>
      <c r="G12" s="4">
        <f t="shared" si="3"/>
        <v>1.0330085261875579</v>
      </c>
      <c r="H12" s="1">
        <v>0.82599999999999996</v>
      </c>
      <c r="I12" s="4">
        <f t="shared" si="12"/>
        <v>0.79100700000000002</v>
      </c>
      <c r="J12" s="4">
        <f t="shared" si="4"/>
        <v>4.2364406779660948</v>
      </c>
      <c r="K12" s="1">
        <v>1.1180000000000001</v>
      </c>
      <c r="L12" s="4">
        <f t="shared" si="13"/>
        <v>1.1263689999999997</v>
      </c>
      <c r="M12" s="5">
        <f t="shared" si="5"/>
        <v>-0.74856887298744423</v>
      </c>
      <c r="O12" s="3">
        <f t="shared" si="0"/>
        <v>0.3923076923076923</v>
      </c>
      <c r="P12" s="3">
        <f t="shared" si="1"/>
        <v>0.49775784753363239</v>
      </c>
      <c r="Q12" s="3">
        <f t="shared" si="2"/>
        <v>0.35691318327974264</v>
      </c>
      <c r="R12" s="3">
        <f t="shared" si="6"/>
        <v>0.26399990138621088</v>
      </c>
      <c r="S12">
        <f t="shared" si="7"/>
        <v>37</v>
      </c>
    </row>
    <row r="13" spans="1:22" x14ac:dyDescent="0.3">
      <c r="A13" s="1">
        <v>5500</v>
      </c>
      <c r="B13" s="1">
        <v>0.03</v>
      </c>
      <c r="C13" s="1">
        <v>4</v>
      </c>
      <c r="D13" s="1" t="s">
        <v>16</v>
      </c>
      <c r="E13" s="1">
        <v>0.89900000000000002</v>
      </c>
      <c r="F13" s="4">
        <f t="shared" ref="F13:F15" si="14" xml:space="preserve"> 0.7914 - 0.000016 *A13 - 0.35 *B13 + 0.04505 *C13 + 15.9* B13*B13
- 0.001936 *C13*C13 + 0.000017 *A13*B13 + 0.000001 *A13*C13 + 0.0042 *B13*C13</f>
        <v>0.88174300000000005</v>
      </c>
      <c r="G13" s="4">
        <f t="shared" si="3"/>
        <v>1.9195773081201299</v>
      </c>
      <c r="H13" s="1">
        <v>0.91600000000000004</v>
      </c>
      <c r="I13" s="4">
        <f t="shared" ref="I13:I15" si="15" xml:space="preserve"> 0.8754 - 0.000006*A13 - 0.46 *B13 + 0.01203* C13 + 21.1* B13*B13
+ 0.00111 *C13*C13 - 0.000067 *A13*B13 - 0.000001 *A13*C13 + 0.0708 *B13*C13</f>
        <v>0.88891099999999978</v>
      </c>
      <c r="J13" s="4">
        <f t="shared" si="4"/>
        <v>2.9573144104803766</v>
      </c>
      <c r="K13" s="1">
        <v>1.145</v>
      </c>
      <c r="L13" s="4">
        <f t="shared" ref="L13:L15" si="16" xml:space="preserve"> 1.0719 - 0.000001* A13 - 0.262 *B13 + 0.02572 *C13 + 11.4* B13*B13
- 0.000841 *C13*C13 + 0.000025 *A13*B13 + 0.0167 *B13*C13</f>
        <v>1.164353</v>
      </c>
      <c r="M13" s="5">
        <f t="shared" si="5"/>
        <v>-1.6902183406113496</v>
      </c>
      <c r="O13" s="3">
        <f t="shared" si="0"/>
        <v>0.24230769230769214</v>
      </c>
      <c r="P13" s="3">
        <f t="shared" si="1"/>
        <v>0.29596412556053808</v>
      </c>
      <c r="Q13" s="3">
        <f t="shared" si="2"/>
        <v>0.27009646302250823</v>
      </c>
      <c r="R13" s="3">
        <f t="shared" si="6"/>
        <v>0.13917543439588148</v>
      </c>
      <c r="S13">
        <f t="shared" si="7"/>
        <v>42</v>
      </c>
    </row>
    <row r="14" spans="1:22" x14ac:dyDescent="0.3">
      <c r="A14" s="1">
        <v>1500</v>
      </c>
      <c r="B14" s="1">
        <v>0.01</v>
      </c>
      <c r="C14" s="1">
        <v>8</v>
      </c>
      <c r="D14" s="1" t="s">
        <v>16</v>
      </c>
      <c r="E14" s="1">
        <v>1.012</v>
      </c>
      <c r="F14" s="4">
        <f t="shared" si="14"/>
        <v>1.0145769999999998</v>
      </c>
      <c r="G14" s="4">
        <f t="shared" si="3"/>
        <v>-0.25464426877468671</v>
      </c>
      <c r="H14" s="1">
        <v>1.026</v>
      </c>
      <c r="I14" s="4">
        <f t="shared" si="15"/>
        <v>1.0238489999999998</v>
      </c>
      <c r="J14" s="4">
        <f t="shared" si="4"/>
        <v>0.20964912280704051</v>
      </c>
      <c r="K14" s="1">
        <v>1.2230000000000001</v>
      </c>
      <c r="L14" s="4">
        <f t="shared" si="16"/>
        <v>1.2225669999999997</v>
      </c>
      <c r="M14" s="5">
        <f t="shared" si="5"/>
        <v>3.5404742436659829E-2</v>
      </c>
      <c r="O14" s="3">
        <f t="shared" si="0"/>
        <v>2.4999999999999814E-2</v>
      </c>
      <c r="P14" s="3">
        <f t="shared" si="1"/>
        <v>4.9327354260089724E-2</v>
      </c>
      <c r="Q14" s="3">
        <f t="shared" si="2"/>
        <v>1.9292604501607732E-2</v>
      </c>
      <c r="R14" s="3">
        <f t="shared" si="6"/>
        <v>4.8776355359195275E-3</v>
      </c>
      <c r="S14">
        <f t="shared" si="7"/>
        <v>59</v>
      </c>
    </row>
    <row r="15" spans="1:22" x14ac:dyDescent="0.3">
      <c r="A15" s="1">
        <v>3500</v>
      </c>
      <c r="B15" s="1">
        <v>0.01</v>
      </c>
      <c r="C15" s="1">
        <v>6</v>
      </c>
      <c r="D15" s="1" t="s">
        <v>16</v>
      </c>
      <c r="E15" s="1">
        <v>0.96199999999999997</v>
      </c>
      <c r="F15" s="4">
        <f t="shared" si="14"/>
        <v>0.95594100000000026</v>
      </c>
      <c r="G15" s="4">
        <f t="shared" si="3"/>
        <v>0.62983367983364902</v>
      </c>
      <c r="H15" s="1">
        <v>0.95599999999999996</v>
      </c>
      <c r="I15" s="4">
        <f t="shared" si="15"/>
        <v>0.94495299999999982</v>
      </c>
      <c r="J15" s="4">
        <f t="shared" si="4"/>
        <v>1.1555439330544082</v>
      </c>
      <c r="K15" s="1">
        <v>1.1819999999999999</v>
      </c>
      <c r="L15" s="4">
        <f t="shared" si="16"/>
        <v>1.1928409999999998</v>
      </c>
      <c r="M15" s="5">
        <f t="shared" si="5"/>
        <v>-0.91717428087985442</v>
      </c>
      <c r="O15" s="3">
        <f t="shared" si="0"/>
        <v>0.12115384615384607</v>
      </c>
      <c r="P15" s="3">
        <f t="shared" si="1"/>
        <v>0.20627802690582975</v>
      </c>
      <c r="Q15" s="3">
        <f t="shared" si="2"/>
        <v>0.15112540192926091</v>
      </c>
      <c r="R15" s="3">
        <f t="shared" si="6"/>
        <v>6.1455933754555749E-2</v>
      </c>
      <c r="S15">
        <f t="shared" si="7"/>
        <v>47</v>
      </c>
    </row>
    <row r="16" spans="1:22" x14ac:dyDescent="0.3">
      <c r="A16" s="1">
        <v>3500</v>
      </c>
      <c r="B16" s="1">
        <v>0.03</v>
      </c>
      <c r="C16" s="1">
        <v>6</v>
      </c>
      <c r="D16" s="1" t="s">
        <v>12</v>
      </c>
      <c r="E16" s="1">
        <v>0.64100000000000001</v>
      </c>
      <c r="F16" s="4">
        <f>0.4613 - 0.000019 *A16 - 0.03 *B16 + 0.04575* C16 + 15.9 *B16*B16
- 0.001936 *C16*C16 + 0.000017 *A16*B16 + 0.000001 *A16*C16 + 0.0042 *B16*C16</f>
        <v>0.63655499999999998</v>
      </c>
      <c r="G16" s="4">
        <f t="shared" si="3"/>
        <v>0.69344773790952141</v>
      </c>
      <c r="H16" s="1">
        <v>0.69499999999999995</v>
      </c>
      <c r="I16" s="4">
        <f xml:space="preserve"> 0.5715 - 0.000007 *A16 - 0.27* B16 + 0.01353 *C16 + 21.1 *B16*B16
+ 0.00111 *C16*C16 - 0.000067 *A16*B16 - 0.000001 *A16*C16 + 0.0708* B16*C16</f>
        <v>0.66373899999999997</v>
      </c>
      <c r="J16" s="4">
        <f t="shared" si="4"/>
        <v>4.4979856115107895</v>
      </c>
      <c r="K16" s="1">
        <v>1.002</v>
      </c>
      <c r="L16" s="4">
        <f>0.8217 - 0.000003* A16 - 0.242 *B16 + 0.03472* C16 + 11.4 *B16*B16
- 0.000841 *C16*C16+ 0.000025 *A16*B16 + 0.0167 *B16*C16</f>
        <v>0.99787499999999985</v>
      </c>
      <c r="M16" s="5">
        <f t="shared" si="5"/>
        <v>0.41167664670660237</v>
      </c>
      <c r="O16" s="3">
        <f t="shared" si="0"/>
        <v>0.73846153846153839</v>
      </c>
      <c r="P16" s="3">
        <f t="shared" si="1"/>
        <v>0.79147982062780275</v>
      </c>
      <c r="Q16" s="3">
        <f t="shared" si="2"/>
        <v>0.72990353697749211</v>
      </c>
      <c r="R16" s="3">
        <f t="shared" si="6"/>
        <v>0.65315551434887265</v>
      </c>
      <c r="S16">
        <f t="shared" si="7"/>
        <v>14</v>
      </c>
    </row>
    <row r="17" spans="1:19" x14ac:dyDescent="0.3">
      <c r="A17" s="1">
        <v>1500</v>
      </c>
      <c r="B17" s="1">
        <v>0.03</v>
      </c>
      <c r="C17" s="1">
        <v>4</v>
      </c>
      <c r="D17" s="1" t="s">
        <v>16</v>
      </c>
      <c r="E17" s="1">
        <v>0.92</v>
      </c>
      <c r="F17" s="4">
        <f xml:space="preserve"> 0.7914 - 0.000016 *A17 - 0.35 *B17 + 0.04505 *C17 + 15.9* B17*B17
- 0.001936 *C17*C17 + 0.000017 *A17*B17 + 0.000001 *A17*C17 + 0.0042 *B17*C17</f>
        <v>0.92770300000000006</v>
      </c>
      <c r="G17" s="4">
        <f t="shared" si="3"/>
        <v>-0.83728260869565374</v>
      </c>
      <c r="H17" s="1">
        <v>0.93500000000000005</v>
      </c>
      <c r="I17" s="4">
        <f xml:space="preserve"> 0.8754 - 0.000006*A17 - 0.46 *B17 + 0.01203* C17 + 21.1* B17*B17
+ 0.00111 *C17*C17 - 0.000067 *A17*B17 - 0.000001 *A17*C17 + 0.0708 *B17*C17</f>
        <v>0.93695099999999987</v>
      </c>
      <c r="J17" s="4">
        <f t="shared" si="4"/>
        <v>-0.20866310160425816</v>
      </c>
      <c r="K17" s="1">
        <v>1.165</v>
      </c>
      <c r="L17" s="4">
        <f xml:space="preserve"> 1.0719 - 0.000001* A17 - 0.262 *B17 + 0.02572 *C17 + 11.4* B17*B17
- 0.000841 *C17*C17 + 0.000025 *A17*B17 + 0.0167 *B17*C17</f>
        <v>1.1653530000000001</v>
      </c>
      <c r="M17" s="5">
        <f t="shared" si="5"/>
        <v>-3.0300429184553449E-2</v>
      </c>
      <c r="O17" s="3">
        <f t="shared" si="0"/>
        <v>0.20192307692307671</v>
      </c>
      <c r="P17" s="3">
        <f t="shared" si="1"/>
        <v>0.25336322869955152</v>
      </c>
      <c r="Q17" s="3">
        <f t="shared" si="2"/>
        <v>0.20578778135048245</v>
      </c>
      <c r="R17" s="3">
        <f t="shared" si="6"/>
        <v>0.10260642649817246</v>
      </c>
      <c r="S17">
        <f t="shared" si="7"/>
        <v>45</v>
      </c>
    </row>
    <row r="18" spans="1:19" x14ac:dyDescent="0.3">
      <c r="A18" s="1">
        <v>5500</v>
      </c>
      <c r="B18" s="1">
        <v>0.03</v>
      </c>
      <c r="C18" s="1">
        <v>4</v>
      </c>
      <c r="D18" s="1" t="s">
        <v>18</v>
      </c>
      <c r="E18" s="1">
        <v>0.71799999999999997</v>
      </c>
      <c r="F18" s="4">
        <f>0.6207 - 0.000019 *A18 - 0.05 *B18 + 0.04495* C18 + 15.9 *B18*B18
- 0.001936 *C18*C18 + 0.000017 *A18*B18 + 0.000001 *A18*C18 + 0.0042 *B18*C18</f>
        <v>0.70314299999999996</v>
      </c>
      <c r="G18" s="4">
        <f t="shared" si="3"/>
        <v>2.0692200557103075</v>
      </c>
      <c r="H18" s="1">
        <v>0.76300000000000001</v>
      </c>
      <c r="I18" s="4">
        <f xml:space="preserve"> 0.7436 - 0.000007 *A18 - 0.41 *B18 + 0.00578 *C18 + 21.1 *B18*B18
+ 0.00111 *C18*C18 - 0.000067 *A18*B18 - 0.000001 *A18*C18+ 0.0708* B18*C18</f>
        <v>0.72811099999999995</v>
      </c>
      <c r="J18" s="4">
        <f t="shared" si="4"/>
        <v>4.5726081258191424</v>
      </c>
      <c r="K18" s="1">
        <v>1.0529999999999999</v>
      </c>
      <c r="L18" s="4">
        <f xml:space="preserve">  0.983 - 0.000002 *A18 - 0.292 *B18 + 0.02482* C18 + 11.4 *B18*B18
- 0.000841 *C18*C18 + 0.000025 *A18*B18 + 0.0167* B18*C18</f>
        <v>1.0654529999999998</v>
      </c>
      <c r="M18" s="5">
        <f t="shared" si="5"/>
        <v>-1.1826210826210661</v>
      </c>
      <c r="O18" s="3">
        <f t="shared" si="0"/>
        <v>0.5903846153846154</v>
      </c>
      <c r="P18" s="3">
        <f t="shared" si="1"/>
        <v>0.63901345291479816</v>
      </c>
      <c r="Q18" s="3">
        <f t="shared" si="2"/>
        <v>0.56591639871382682</v>
      </c>
      <c r="R18" s="3">
        <f t="shared" si="6"/>
        <v>0.46206030022937572</v>
      </c>
      <c r="S18">
        <f t="shared" si="7"/>
        <v>22</v>
      </c>
    </row>
    <row r="19" spans="1:19" x14ac:dyDescent="0.3">
      <c r="A19" s="1">
        <v>3500</v>
      </c>
      <c r="B19" s="1">
        <v>0.02</v>
      </c>
      <c r="C19" s="1">
        <v>6</v>
      </c>
      <c r="D19" s="1" t="s">
        <v>16</v>
      </c>
      <c r="E19" s="1">
        <v>0.96799999999999997</v>
      </c>
      <c r="F19" s="4">
        <f t="shared" ref="F19:F21" si="17" xml:space="preserve"> 0.7914 - 0.000016 *A19 - 0.35 *B19 + 0.04505 *C19 + 15.9* B19*B19
- 0.001936 *C19*C19 + 0.000017 *A19*B19 + 0.000001 *A19*C19 + 0.0042 *B19*C19</f>
        <v>0.95805800000000008</v>
      </c>
      <c r="G19" s="4">
        <f t="shared" si="3"/>
        <v>1.0270661157024685</v>
      </c>
      <c r="H19" s="1">
        <v>0.96299999999999997</v>
      </c>
      <c r="I19" s="4">
        <f t="shared" ref="I19:I21" si="18" xml:space="preserve"> 0.8754 - 0.000006*A19 - 0.46 *B19 + 0.01203* C19 + 21.1* B19*B19
+ 0.00111 *C19*C19 - 0.000067 *A19*B19 - 0.000001 *A19*C19 + 0.0708 *B19*C19</f>
        <v>0.94858599999999993</v>
      </c>
      <c r="J19" s="4">
        <f t="shared" si="4"/>
        <v>1.4967808930425792</v>
      </c>
      <c r="K19" s="1">
        <v>1.1890000000000001</v>
      </c>
      <c r="L19" s="4">
        <f t="shared" ref="L19:L21" si="19" xml:space="preserve"> 1.0719 - 0.000001* A19 - 0.262 *B19 + 0.02572 *C19 + 11.4* B19*B19
- 0.000841 *C19*C19 + 0.000025 *A19*B19 + 0.0167 *B19*C19</f>
        <v>1.1955179999999999</v>
      </c>
      <c r="M19" s="5">
        <f t="shared" si="5"/>
        <v>-0.54819175777963003</v>
      </c>
      <c r="O19" s="3">
        <f t="shared" si="0"/>
        <v>0.10961538461538452</v>
      </c>
      <c r="P19" s="3">
        <f t="shared" si="1"/>
        <v>0.19058295964125574</v>
      </c>
      <c r="Q19" s="3">
        <f t="shared" si="2"/>
        <v>0.12861736334405155</v>
      </c>
      <c r="R19" s="3">
        <f t="shared" si="6"/>
        <v>5.1835535641765629E-2</v>
      </c>
      <c r="S19">
        <f t="shared" si="7"/>
        <v>48</v>
      </c>
    </row>
    <row r="20" spans="1:19" x14ac:dyDescent="0.3">
      <c r="A20" s="1">
        <v>5500</v>
      </c>
      <c r="B20" s="1">
        <v>0.01</v>
      </c>
      <c r="C20" s="1">
        <v>4</v>
      </c>
      <c r="D20" s="1" t="s">
        <v>16</v>
      </c>
      <c r="E20" s="1">
        <v>0.89600000000000002</v>
      </c>
      <c r="F20" s="4">
        <f t="shared" si="17"/>
        <v>0.87381700000000007</v>
      </c>
      <c r="G20" s="4">
        <f t="shared" si="3"/>
        <v>2.4757812499999949</v>
      </c>
      <c r="H20" s="1">
        <v>0.91200000000000003</v>
      </c>
      <c r="I20" s="4">
        <f t="shared" si="18"/>
        <v>0.88293699999999975</v>
      </c>
      <c r="J20" s="4">
        <f t="shared" si="4"/>
        <v>3.1867324561403816</v>
      </c>
      <c r="K20" s="1">
        <v>1.1379999999999999</v>
      </c>
      <c r="L20" s="4">
        <f t="shared" si="19"/>
        <v>1.1563869999999998</v>
      </c>
      <c r="M20" s="5">
        <f t="shared" si="5"/>
        <v>-1.6157293497363736</v>
      </c>
      <c r="O20" s="3">
        <f t="shared" si="0"/>
        <v>0.24807692307692292</v>
      </c>
      <c r="P20" s="3">
        <f t="shared" si="1"/>
        <v>0.30493273542600896</v>
      </c>
      <c r="Q20" s="3">
        <f t="shared" si="2"/>
        <v>0.29260450160771762</v>
      </c>
      <c r="R20" s="3">
        <f t="shared" si="6"/>
        <v>0.14877697007242008</v>
      </c>
      <c r="S20">
        <f t="shared" si="7"/>
        <v>41</v>
      </c>
    </row>
    <row r="21" spans="1:19" x14ac:dyDescent="0.3">
      <c r="A21" s="1">
        <v>3500</v>
      </c>
      <c r="B21" s="1">
        <v>0.02</v>
      </c>
      <c r="C21" s="1">
        <v>6</v>
      </c>
      <c r="D21" s="1" t="s">
        <v>16</v>
      </c>
      <c r="E21" s="1">
        <v>0.96799999999999997</v>
      </c>
      <c r="F21" s="4">
        <f t="shared" si="17"/>
        <v>0.95805800000000008</v>
      </c>
      <c r="G21" s="4">
        <f t="shared" si="3"/>
        <v>1.0270661157024685</v>
      </c>
      <c r="H21" s="1">
        <v>0.96299999999999997</v>
      </c>
      <c r="I21" s="4">
        <f t="shared" si="18"/>
        <v>0.94858599999999993</v>
      </c>
      <c r="J21" s="4">
        <f t="shared" si="4"/>
        <v>1.4967808930425792</v>
      </c>
      <c r="K21" s="1">
        <v>1.1890000000000001</v>
      </c>
      <c r="L21" s="4">
        <f t="shared" si="19"/>
        <v>1.1955179999999999</v>
      </c>
      <c r="M21" s="5">
        <f t="shared" si="5"/>
        <v>-0.54819175777963003</v>
      </c>
      <c r="O21" s="3">
        <f t="shared" si="0"/>
        <v>0.10961538461538452</v>
      </c>
      <c r="P21" s="3">
        <f t="shared" si="1"/>
        <v>0.19058295964125574</v>
      </c>
      <c r="Q21" s="3">
        <f t="shared" si="2"/>
        <v>0.12861736334405155</v>
      </c>
      <c r="R21" s="3">
        <f t="shared" si="6"/>
        <v>5.1835535641765629E-2</v>
      </c>
      <c r="S21">
        <f t="shared" si="7"/>
        <v>48</v>
      </c>
    </row>
    <row r="22" spans="1:19" x14ac:dyDescent="0.3">
      <c r="A22" s="1">
        <v>3500</v>
      </c>
      <c r="B22" s="1">
        <v>0.02</v>
      </c>
      <c r="C22" s="1">
        <v>8</v>
      </c>
      <c r="D22" s="1" t="s">
        <v>12</v>
      </c>
      <c r="E22" s="1">
        <v>0.68300000000000005</v>
      </c>
      <c r="F22" s="4">
        <f>0.4613 - 0.000019 *A22 - 0.03 *B22 + 0.04575* C22 + 15.9 *B22*B22
- 0.001936 *C22*C22 + 0.000017 *A22*B22 + 0.000001 *A22*C22 + 0.0042 *B22*C22</f>
        <v>0.67251800000000006</v>
      </c>
      <c r="G22" s="4">
        <f t="shared" si="3"/>
        <v>1.5346998535871144</v>
      </c>
      <c r="H22" s="1">
        <v>0.72799999999999998</v>
      </c>
      <c r="I22" s="4">
        <f xml:space="preserve"> 0.5715 - 0.000007 *A22 - 0.27* B22 + 0.01353 *C22 + 21.1 *B22*B22
+ 0.00111 *C22*C22 - 0.000067 *A22*B22 - 0.000001 *A22*C22 + 0.0708* B22*C22</f>
        <v>0.70795800000000009</v>
      </c>
      <c r="J22" s="4">
        <f t="shared" si="4"/>
        <v>2.7530219780219634</v>
      </c>
      <c r="K22" s="1">
        <v>1.0309999999999999</v>
      </c>
      <c r="L22" s="4">
        <f>0.8217 - 0.000003* A22 - 0.242 *B22 + 0.03472* C22 + 11.4 *B22*B22
- 0.000841 *C22*C22+ 0.000025 *A22*B22 + 0.0167 *B22*C22</f>
        <v>1.0392779999999997</v>
      </c>
      <c r="M22" s="5">
        <f t="shared" si="5"/>
        <v>-0.8029097963142372</v>
      </c>
      <c r="O22" s="3">
        <f t="shared" si="0"/>
        <v>0.65769230769230758</v>
      </c>
      <c r="P22" s="3">
        <f t="shared" si="1"/>
        <v>0.71748878923766823</v>
      </c>
      <c r="Q22" s="3">
        <f t="shared" si="2"/>
        <v>0.63665594855305507</v>
      </c>
      <c r="R22" s="3">
        <f t="shared" si="6"/>
        <v>0.54811456365890432</v>
      </c>
      <c r="S22">
        <f t="shared" si="7"/>
        <v>18</v>
      </c>
    </row>
    <row r="23" spans="1:19" x14ac:dyDescent="0.3">
      <c r="A23" s="1">
        <v>5500</v>
      </c>
      <c r="B23" s="1">
        <v>0.03</v>
      </c>
      <c r="C23" s="1">
        <v>8</v>
      </c>
      <c r="D23" s="1" t="s">
        <v>16</v>
      </c>
      <c r="E23" s="1">
        <v>1.002</v>
      </c>
      <c r="F23" s="4">
        <f xml:space="preserve"> 0.7914 - 0.000016 *A23 - 0.35 *B23 + 0.04505 *C23 + 15.9* B23*B23
- 0.001936 *C23*C23 + 0.000017 *A23*B23 + 0.000001 *A23*C23 + 0.0042 *B23*C23</f>
        <v>0.99151900000000015</v>
      </c>
      <c r="G23" s="4">
        <f t="shared" si="3"/>
        <v>1.0460079840319212</v>
      </c>
      <c r="H23" s="1">
        <v>1.012</v>
      </c>
      <c r="I23" s="4">
        <f xml:space="preserve"> 0.8754 - 0.000006*A23 - 0.46 *B23 + 0.01203* C23 + 21.1* B23*B23
+ 0.00111 *C23*C23 - 0.000067 *A23*B23 - 0.000001 *A23*C23 + 0.0708 *B23*C23</f>
        <v>0.97680699999999987</v>
      </c>
      <c r="J23" s="4">
        <f t="shared" si="4"/>
        <v>3.4775691699604878</v>
      </c>
      <c r="K23" s="1">
        <v>1.2130000000000001</v>
      </c>
      <c r="L23" s="4">
        <f xml:space="preserve"> 1.0719 - 0.000001* A23 - 0.262 *B23 + 0.02572 *C23 + 11.4* B23*B23
- 0.000841 *C23*C23 + 0.000025 *A23*B23 + 0.0167 *B23*C23</f>
        <v>1.2288689999999998</v>
      </c>
      <c r="M23" s="5">
        <f t="shared" si="5"/>
        <v>-1.3082440230832388</v>
      </c>
      <c r="O23" s="3">
        <f t="shared" si="0"/>
        <v>4.4230769230769067E-2</v>
      </c>
      <c r="P23" s="3">
        <f t="shared" si="1"/>
        <v>8.0717488789237735E-2</v>
      </c>
      <c r="Q23" s="3">
        <f t="shared" si="2"/>
        <v>5.1446945337620613E-2</v>
      </c>
      <c r="R23" s="3">
        <f t="shared" si="6"/>
        <v>1.3552701218916E-2</v>
      </c>
      <c r="S23">
        <f t="shared" si="7"/>
        <v>57</v>
      </c>
    </row>
    <row r="24" spans="1:19" x14ac:dyDescent="0.3">
      <c r="A24" s="1">
        <v>3500</v>
      </c>
      <c r="B24" s="1">
        <v>0.03</v>
      </c>
      <c r="C24" s="1">
        <v>6</v>
      </c>
      <c r="D24" s="1" t="s">
        <v>18</v>
      </c>
      <c r="E24" s="1">
        <v>0.79500000000000004</v>
      </c>
      <c r="F24" s="4">
        <f t="shared" ref="F24:F25" si="20">0.6207 - 0.000019 *A24 - 0.05 *B24 + 0.04495* C24 + 15.9 *B24*B24
- 0.001936 *C24*C24 + 0.000017 *A24*B24 + 0.000001 *A24*C24 + 0.0042 *B24*C24</f>
        <v>0.79055500000000012</v>
      </c>
      <c r="G24" s="4">
        <f t="shared" si="3"/>
        <v>0.55911949685533602</v>
      </c>
      <c r="H24" s="1">
        <v>0.79900000000000004</v>
      </c>
      <c r="I24" s="4">
        <f t="shared" ref="I24:I25" si="21" xml:space="preserve"> 0.7436 - 0.000007 *A24 - 0.41 *B24 + 0.00578 *C24 + 21.1 *B24*B24
+ 0.00111 *C24*C24 - 0.000067 *A24*B24 - 0.000001 *A24*C24+ 0.0708* B24*C24</f>
        <v>0.78513900000000003</v>
      </c>
      <c r="J24" s="4">
        <f t="shared" si="4"/>
        <v>1.7347934918648327</v>
      </c>
      <c r="K24" s="1">
        <v>1.0980000000000001</v>
      </c>
      <c r="L24" s="4">
        <f t="shared" ref="L24:L25" si="22" xml:space="preserve">  0.983 - 0.000002 *A24 - 0.292 *B24 + 0.02482* C24 + 11.4 *B24*B24
- 0.000841 *C24*C24 + 0.000025 *A24*B24 + 0.0167* B24*C24</f>
        <v>1.1017750000000002</v>
      </c>
      <c r="M24" s="5">
        <f t="shared" si="5"/>
        <v>-0.34380692167578175</v>
      </c>
      <c r="O24" s="3">
        <f t="shared" si="0"/>
        <v>0.44230769230769212</v>
      </c>
      <c r="P24" s="3">
        <f t="shared" si="1"/>
        <v>0.55829596412556048</v>
      </c>
      <c r="Q24" s="3">
        <f t="shared" si="2"/>
        <v>0.42122186495176844</v>
      </c>
      <c r="R24" s="3">
        <f t="shared" si="6"/>
        <v>0.32251501890169409</v>
      </c>
      <c r="S24">
        <f t="shared" si="7"/>
        <v>34</v>
      </c>
    </row>
    <row r="25" spans="1:19" x14ac:dyDescent="0.3">
      <c r="A25" s="1">
        <v>1500</v>
      </c>
      <c r="B25" s="1">
        <v>0.03</v>
      </c>
      <c r="C25" s="1">
        <v>8</v>
      </c>
      <c r="D25" s="1" t="s">
        <v>18</v>
      </c>
      <c r="E25" s="1">
        <v>0.86599999999999999</v>
      </c>
      <c r="F25" s="4">
        <f t="shared" si="20"/>
        <v>0.85447900000000021</v>
      </c>
      <c r="G25" s="4">
        <f t="shared" si="3"/>
        <v>1.3303695150115222</v>
      </c>
      <c r="H25" s="1">
        <v>0.88200000000000001</v>
      </c>
      <c r="I25" s="4">
        <f t="shared" si="21"/>
        <v>0.85904700000000012</v>
      </c>
      <c r="J25" s="4">
        <f t="shared" si="4"/>
        <v>2.60238095238094</v>
      </c>
      <c r="K25" s="1">
        <v>1.133</v>
      </c>
      <c r="L25" s="4">
        <f t="shared" si="22"/>
        <v>1.1313689999999998</v>
      </c>
      <c r="M25" s="5">
        <f t="shared" si="5"/>
        <v>0.14395410414829302</v>
      </c>
      <c r="O25" s="3">
        <f t="shared" si="0"/>
        <v>0.30576923076923068</v>
      </c>
      <c r="P25" s="3">
        <f t="shared" si="1"/>
        <v>0.37219730941704038</v>
      </c>
      <c r="Q25" s="3">
        <f t="shared" si="2"/>
        <v>0.30868167202572372</v>
      </c>
      <c r="R25" s="3">
        <f t="shared" si="6"/>
        <v>0.18742992310613921</v>
      </c>
      <c r="S25">
        <f t="shared" si="7"/>
        <v>40</v>
      </c>
    </row>
    <row r="26" spans="1:19" x14ac:dyDescent="0.3">
      <c r="A26" s="1">
        <v>3500</v>
      </c>
      <c r="B26" s="1">
        <v>0.02</v>
      </c>
      <c r="C26" s="1">
        <v>6</v>
      </c>
      <c r="D26" s="1" t="s">
        <v>16</v>
      </c>
      <c r="E26" s="1">
        <v>0.96799999999999997</v>
      </c>
      <c r="F26" s="4">
        <f xml:space="preserve"> 0.7914 - 0.000016 *A26 - 0.35 *B26 + 0.04505 *C26 + 15.9* B26*B26
- 0.001936 *C26*C26 + 0.000017 *A26*B26 + 0.000001 *A26*C26 + 0.0042 *B26*C26</f>
        <v>0.95805800000000008</v>
      </c>
      <c r="G26" s="4">
        <f t="shared" si="3"/>
        <v>1.0270661157024685</v>
      </c>
      <c r="H26" s="1">
        <v>0.96299999999999997</v>
      </c>
      <c r="I26" s="4">
        <f xml:space="preserve"> 0.8754 - 0.000006*A26 - 0.46 *B26 + 0.01203* C26 + 21.1* B26*B26
+ 0.00111 *C26*C26 - 0.000067 *A26*B26 - 0.000001 *A26*C26 + 0.0708 *B26*C26</f>
        <v>0.94858599999999993</v>
      </c>
      <c r="J26" s="4">
        <f t="shared" si="4"/>
        <v>1.4967808930425792</v>
      </c>
      <c r="K26" s="1">
        <v>1.1890000000000001</v>
      </c>
      <c r="L26" s="4">
        <f xml:space="preserve"> 1.0719 - 0.000001* A26 - 0.262 *B26 + 0.02572 *C26 + 11.4* B26*B26
- 0.000841 *C26*C26 + 0.000025 *A26*B26 + 0.0167 *B26*C26</f>
        <v>1.1955179999999999</v>
      </c>
      <c r="M26" s="5">
        <f t="shared" si="5"/>
        <v>-0.54819175777963003</v>
      </c>
      <c r="O26" s="3">
        <f t="shared" si="0"/>
        <v>0.10961538461538452</v>
      </c>
      <c r="P26" s="3">
        <f t="shared" si="1"/>
        <v>0.19058295964125574</v>
      </c>
      <c r="Q26" s="3">
        <f t="shared" si="2"/>
        <v>0.12861736334405155</v>
      </c>
      <c r="R26" s="3">
        <f t="shared" si="6"/>
        <v>5.1835535641765629E-2</v>
      </c>
      <c r="S26">
        <f t="shared" si="7"/>
        <v>48</v>
      </c>
    </row>
    <row r="27" spans="1:19" x14ac:dyDescent="0.3">
      <c r="A27" s="1">
        <v>3500</v>
      </c>
      <c r="B27" s="1">
        <v>0.02</v>
      </c>
      <c r="C27" s="1">
        <v>6</v>
      </c>
      <c r="D27" s="1" t="s">
        <v>18</v>
      </c>
      <c r="E27" s="1">
        <v>0.78600000000000003</v>
      </c>
      <c r="F27" s="4">
        <f>0.6207 - 0.000019 *A27 - 0.05 *B27 + 0.04495* C27 + 15.9 *B27*B27
- 0.001936 *C27*C27 + 0.000017 *A27*B27 + 0.000001 *A27*C27 + 0.0042 *B27*C27</f>
        <v>0.78225800000000001</v>
      </c>
      <c r="G27" s="4">
        <f t="shared" si="3"/>
        <v>0.47608142493638972</v>
      </c>
      <c r="H27" s="1">
        <v>0.79200000000000004</v>
      </c>
      <c r="I27" s="4">
        <f xml:space="preserve"> 0.7436 - 0.000007 *A27 - 0.41 *B27 + 0.00578 *C27 + 21.1 *B27*B27
+ 0.00111 *C27*C27 - 0.000067 *A27*B27 - 0.000001 *A27*C27+ 0.0708* B27*C27</f>
        <v>0.77678600000000009</v>
      </c>
      <c r="J27" s="4">
        <f t="shared" si="4"/>
        <v>1.9209595959595895</v>
      </c>
      <c r="K27" s="1">
        <v>1.089</v>
      </c>
      <c r="L27" s="4">
        <f xml:space="preserve">  0.983 - 0.000002 *A27 - 0.292 *B27 + 0.02482* C27 + 11.4 *B27*B27
- 0.000841 *C27*C27 + 0.000025 *A27*B27 + 0.0167* B27*C27</f>
        <v>1.0971179999999998</v>
      </c>
      <c r="M27" s="5">
        <f t="shared" si="5"/>
        <v>-0.74545454545453149</v>
      </c>
      <c r="O27" s="3">
        <f t="shared" si="0"/>
        <v>0.45961538461538448</v>
      </c>
      <c r="P27" s="3">
        <f t="shared" si="1"/>
        <v>0.57399103139013441</v>
      </c>
      <c r="Q27" s="3">
        <f t="shared" si="2"/>
        <v>0.4501607717041804</v>
      </c>
      <c r="R27" s="3">
        <f t="shared" si="6"/>
        <v>0.34461458602441442</v>
      </c>
      <c r="S27">
        <f t="shared" si="7"/>
        <v>28</v>
      </c>
    </row>
    <row r="28" spans="1:19" x14ac:dyDescent="0.3">
      <c r="A28" s="1">
        <v>1500</v>
      </c>
      <c r="B28" s="1">
        <v>0.03</v>
      </c>
      <c r="C28" s="1">
        <v>8</v>
      </c>
      <c r="D28" s="1" t="s">
        <v>12</v>
      </c>
      <c r="E28" s="1">
        <v>0.69599999999999995</v>
      </c>
      <c r="F28" s="4">
        <f t="shared" ref="F28:F29" si="23">0.4613 - 0.000019 *A28 - 0.03 *B28 + 0.04575* C28 + 15.9 *B28*B28
- 0.001936 *C28*C28 + 0.000017 *A28*B28 + 0.000001 *A28*C28 + 0.0042 *B28*C28</f>
        <v>0.70207900000000001</v>
      </c>
      <c r="G28" s="4">
        <f t="shared" si="3"/>
        <v>-0.87341954022989321</v>
      </c>
      <c r="H28" s="1">
        <v>0.74299999999999999</v>
      </c>
      <c r="I28" s="4">
        <f t="shared" ref="I28:I29" si="24" xml:space="preserve"> 0.5715 - 0.000007 *A28 - 0.27* B28 + 0.01353 *C28 + 21.1 *B28*B28
+ 0.00111 *C28*C28 - 0.000067 *A28*B28 - 0.000001 *A28*C28 + 0.0708* B28*C28</f>
        <v>0.75314700000000001</v>
      </c>
      <c r="J28" s="4">
        <f t="shared" si="4"/>
        <v>-1.3656796769851975</v>
      </c>
      <c r="K28" s="1">
        <v>1.0409999999999999</v>
      </c>
      <c r="L28" s="4">
        <f t="shared" ref="L28:L29" si="25">0.8217 - 0.000003* A28 - 0.242 *B28 + 0.03472* C28 + 11.4 *B28*B28
- 0.000841 *C28*C28+ 0.000025 *A28*B28 + 0.0167 *B28*C28</f>
        <v>1.0492689999999998</v>
      </c>
      <c r="M28" s="5">
        <f t="shared" si="5"/>
        <v>-0.79433237271852641</v>
      </c>
      <c r="O28" s="3">
        <f t="shared" si="0"/>
        <v>0.63269230769230778</v>
      </c>
      <c r="P28" s="3">
        <f t="shared" si="1"/>
        <v>0.68385650224215244</v>
      </c>
      <c r="Q28" s="3">
        <f t="shared" si="2"/>
        <v>0.6045016077170422</v>
      </c>
      <c r="R28" s="3">
        <f t="shared" si="6"/>
        <v>0.51141975235702952</v>
      </c>
      <c r="S28">
        <f t="shared" si="7"/>
        <v>20</v>
      </c>
    </row>
    <row r="29" spans="1:19" x14ac:dyDescent="0.3">
      <c r="A29" s="1">
        <v>1500</v>
      </c>
      <c r="B29" s="1">
        <v>0.01</v>
      </c>
      <c r="C29" s="1">
        <v>8</v>
      </c>
      <c r="D29" s="1" t="s">
        <v>12</v>
      </c>
      <c r="E29" s="1">
        <v>0.68899999999999995</v>
      </c>
      <c r="F29" s="4">
        <f t="shared" si="23"/>
        <v>0.68877699999999997</v>
      </c>
      <c r="G29" s="4">
        <f t="shared" si="3"/>
        <v>3.2365747460083201E-2</v>
      </c>
      <c r="H29" s="1">
        <v>0.73499999999999999</v>
      </c>
      <c r="I29" s="4">
        <f t="shared" si="24"/>
        <v>0.73234899999999992</v>
      </c>
      <c r="J29" s="4">
        <f t="shared" si="4"/>
        <v>0.36068027210885306</v>
      </c>
      <c r="K29" s="1">
        <v>1.0369999999999999</v>
      </c>
      <c r="L29" s="4">
        <f t="shared" si="25"/>
        <v>1.0415669999999999</v>
      </c>
      <c r="M29" s="5">
        <f t="shared" si="5"/>
        <v>-0.44040501446480118</v>
      </c>
      <c r="O29" s="3">
        <f t="shared" si="0"/>
        <v>0.64615384615384619</v>
      </c>
      <c r="P29" s="3">
        <f t="shared" si="1"/>
        <v>0.7017937219730942</v>
      </c>
      <c r="Q29" s="3">
        <f t="shared" si="2"/>
        <v>0.61736334405144744</v>
      </c>
      <c r="R29" s="3">
        <f t="shared" si="6"/>
        <v>0.52910653572178556</v>
      </c>
      <c r="S29">
        <f t="shared" si="7"/>
        <v>19</v>
      </c>
    </row>
    <row r="30" spans="1:19" x14ac:dyDescent="0.3">
      <c r="A30" s="1">
        <v>5500</v>
      </c>
      <c r="B30" s="1">
        <v>0.01</v>
      </c>
      <c r="C30" s="1">
        <v>8</v>
      </c>
      <c r="D30" s="1" t="s">
        <v>18</v>
      </c>
      <c r="E30" s="1">
        <v>0.81499999999999995</v>
      </c>
      <c r="F30" s="4">
        <f>0.6207 - 0.000019 *A30 - 0.05 *B30 + 0.04495* C30 + 15.9 *B30*B30
- 0.001936 *C30*C30 + 0.000017 *A30*B30 + 0.000001 *A30*C30 + 0.0042 *B30*C30</f>
        <v>0.79825699999999999</v>
      </c>
      <c r="G30" s="4">
        <f t="shared" si="3"/>
        <v>2.0543558282208529</v>
      </c>
      <c r="H30" s="1">
        <v>0.81899999999999995</v>
      </c>
      <c r="I30" s="4">
        <f xml:space="preserve"> 0.7436 - 0.000007 *A30 - 0.41 *B30 + 0.00578 *C30 + 21.1 *B30*B30
+ 0.00111 *C30*C30 - 0.000067 *A30*B30 - 0.000001 *A30*C30+ 0.0708* B30*C30</f>
        <v>0.77836899999999998</v>
      </c>
      <c r="J30" s="4">
        <f t="shared" si="4"/>
        <v>4.9610500610500585</v>
      </c>
      <c r="K30" s="1">
        <v>1.1080000000000001</v>
      </c>
      <c r="L30" s="4">
        <f xml:space="preserve">  0.983 - 0.000002 *A30 - 0.292 *B30 + 0.02482* C30 + 11.4 *B30*B30
- 0.000841 *C30*C30 + 0.000025 *A30*B30 + 0.0167* B30*C30</f>
        <v>1.1176669999999997</v>
      </c>
      <c r="M30" s="5">
        <f t="shared" si="5"/>
        <v>-0.87247292418769373</v>
      </c>
      <c r="O30" s="3">
        <f t="shared" si="0"/>
        <v>0.40384615384615385</v>
      </c>
      <c r="P30" s="3">
        <f t="shared" si="1"/>
        <v>0.51345291479820643</v>
      </c>
      <c r="Q30" s="3">
        <f t="shared" si="2"/>
        <v>0.38906752411575557</v>
      </c>
      <c r="R30" s="3">
        <f t="shared" si="6"/>
        <v>0.28403429304472538</v>
      </c>
      <c r="S30">
        <f t="shared" si="7"/>
        <v>36</v>
      </c>
    </row>
    <row r="31" spans="1:19" x14ac:dyDescent="0.3">
      <c r="A31" s="1">
        <v>1500</v>
      </c>
      <c r="B31" s="1">
        <v>0.02</v>
      </c>
      <c r="C31" s="1">
        <v>6</v>
      </c>
      <c r="D31" s="1" t="s">
        <v>16</v>
      </c>
      <c r="E31" s="1">
        <v>0.98899999999999999</v>
      </c>
      <c r="F31" s="4">
        <f xml:space="preserve"> 0.7914 - 0.000016 *A31 - 0.35 *B31 + 0.04505 *C31 + 15.9* B31*B31
- 0.001936 *C31*C31 + 0.000017 *A31*B31 + 0.000001 *A31*C31 + 0.0042 *B31*C31</f>
        <v>0.97737799999999986</v>
      </c>
      <c r="G31" s="4">
        <f t="shared" si="3"/>
        <v>1.1751263902932387</v>
      </c>
      <c r="H31" s="1">
        <v>0.99099999999999999</v>
      </c>
      <c r="I31" s="4">
        <f xml:space="preserve"> 0.8754 - 0.000006*A31 - 0.46 *B31 + 0.01203* C31 + 21.1* B31*B31
+ 0.00111 *C31*C31 - 0.000067 *A31*B31 - 0.000001 *A31*C31 + 0.0708 *B31*C31</f>
        <v>0.97526599999999997</v>
      </c>
      <c r="J31" s="4">
        <f t="shared" si="4"/>
        <v>1.5876892028254315</v>
      </c>
      <c r="K31" s="1">
        <v>1.196</v>
      </c>
      <c r="L31" s="4">
        <f xml:space="preserve"> 1.0719 - 0.000001* A31 - 0.262 *B31 + 0.02572 *C31 + 11.4* B31*B31
- 0.000841 *C31*C31 + 0.000025 *A31*B31 + 0.0167 *B31*C31</f>
        <v>1.196518</v>
      </c>
      <c r="M31" s="5">
        <f t="shared" si="5"/>
        <v>-4.33110367892992E-2</v>
      </c>
      <c r="O31" s="3">
        <f t="shared" si="0"/>
        <v>6.9230769230769096E-2</v>
      </c>
      <c r="P31" s="3">
        <f t="shared" si="1"/>
        <v>0.12780269058295973</v>
      </c>
      <c r="Q31" s="3">
        <f t="shared" si="2"/>
        <v>0.10610932475884288</v>
      </c>
      <c r="R31" s="3">
        <f t="shared" si="6"/>
        <v>3.0640535594973685E-2</v>
      </c>
      <c r="S31">
        <f t="shared" si="7"/>
        <v>55</v>
      </c>
    </row>
    <row r="32" spans="1:19" x14ac:dyDescent="0.3">
      <c r="A32" s="1">
        <v>3500</v>
      </c>
      <c r="B32" s="1">
        <v>0.02</v>
      </c>
      <c r="C32" s="1">
        <v>6</v>
      </c>
      <c r="D32" s="1" t="s">
        <v>12</v>
      </c>
      <c r="E32" s="1">
        <v>0.63500000000000001</v>
      </c>
      <c r="F32" s="4">
        <f t="shared" ref="F32:F33" si="26">0.4613 - 0.000019 *A32 - 0.03 *B32 + 0.04575* C32 + 15.9 *B32*B32
- 0.001936 *C32*C32 + 0.000017 *A32*B32 + 0.000001 *A32*C32 + 0.0042 *B32*C32</f>
        <v>0.62805800000000001</v>
      </c>
      <c r="G32" s="4">
        <f t="shared" si="3"/>
        <v>1.0932283464566934</v>
      </c>
      <c r="H32" s="1">
        <v>0.67200000000000004</v>
      </c>
      <c r="I32" s="4">
        <f t="shared" ref="I32:I33" si="27" xml:space="preserve"> 0.5715 - 0.000007 *A32 - 0.27* B32 + 0.01353 *C32 + 21.1 *B32*B32
+ 0.00111 *C32*C32 - 0.000067 *A32*B32 - 0.000001 *A32*C32 + 0.0708* B32*C32</f>
        <v>0.65398600000000007</v>
      </c>
      <c r="J32" s="4">
        <f t="shared" si="4"/>
        <v>2.680654761904758</v>
      </c>
      <c r="K32" s="1">
        <v>0.99299999999999999</v>
      </c>
      <c r="L32" s="4">
        <f t="shared" ref="L32:L33" si="28">0.8217 - 0.000003* A32 - 0.242 *B32 + 0.03472* C32 + 11.4 *B32*B32
- 0.000841 *C32*C32+ 0.000025 *A32*B32 + 0.0167 *B32*C32</f>
        <v>0.99271799999999999</v>
      </c>
      <c r="M32" s="5">
        <f t="shared" si="5"/>
        <v>2.8398791540785947E-2</v>
      </c>
      <c r="O32" s="3">
        <f t="shared" si="0"/>
        <v>0.75</v>
      </c>
      <c r="P32" s="3">
        <f t="shared" si="1"/>
        <v>0.84304932735425997</v>
      </c>
      <c r="Q32" s="3">
        <f t="shared" si="2"/>
        <v>0.75884244372990373</v>
      </c>
      <c r="R32" s="3">
        <f t="shared" si="6"/>
        <v>0.69268045216807494</v>
      </c>
      <c r="S32">
        <f t="shared" si="7"/>
        <v>8</v>
      </c>
    </row>
    <row r="33" spans="1:19" x14ac:dyDescent="0.3">
      <c r="A33" s="1">
        <v>1500</v>
      </c>
      <c r="B33" s="1">
        <v>0.03</v>
      </c>
      <c r="C33" s="1">
        <v>4</v>
      </c>
      <c r="D33" s="1" t="s">
        <v>12</v>
      </c>
      <c r="E33" s="1">
        <v>0.60899999999999999</v>
      </c>
      <c r="F33" s="4">
        <f t="shared" si="26"/>
        <v>0.60550300000000001</v>
      </c>
      <c r="G33" s="4">
        <f t="shared" si="3"/>
        <v>0.57422003284071788</v>
      </c>
      <c r="H33" s="1">
        <v>0.64500000000000002</v>
      </c>
      <c r="I33" s="4">
        <f t="shared" si="27"/>
        <v>0.64325100000000002</v>
      </c>
      <c r="J33" s="4">
        <f t="shared" si="4"/>
        <v>0.27116279069767446</v>
      </c>
      <c r="K33" s="1">
        <v>0.94199999999999995</v>
      </c>
      <c r="L33" s="4">
        <f t="shared" si="28"/>
        <v>0.94875300000000007</v>
      </c>
      <c r="M33" s="5">
        <f t="shared" si="5"/>
        <v>-0.71687898089173252</v>
      </c>
      <c r="O33" s="3">
        <f t="shared" si="0"/>
        <v>0.8</v>
      </c>
      <c r="P33" s="3">
        <f t="shared" si="1"/>
        <v>0.90358744394618828</v>
      </c>
      <c r="Q33" s="3">
        <f t="shared" si="2"/>
        <v>0.92282958199356946</v>
      </c>
      <c r="R33" s="3">
        <f t="shared" si="6"/>
        <v>0.81675319316988226</v>
      </c>
      <c r="S33">
        <f t="shared" si="7"/>
        <v>5</v>
      </c>
    </row>
    <row r="34" spans="1:19" x14ac:dyDescent="0.3">
      <c r="A34" s="1">
        <v>3500</v>
      </c>
      <c r="B34" s="1">
        <v>0.02</v>
      </c>
      <c r="C34" s="1">
        <v>6</v>
      </c>
      <c r="D34" s="1" t="s">
        <v>16</v>
      </c>
      <c r="E34" s="1">
        <v>0.96799999999999997</v>
      </c>
      <c r="F34" s="4">
        <f xml:space="preserve"> 0.7914 - 0.000016 *A34 - 0.35 *B34 + 0.04505 *C34 + 15.9* B34*B34
- 0.001936 *C34*C34 + 0.000017 *A34*B34 + 0.000001 *A34*C34 + 0.0042 *B34*C34</f>
        <v>0.95805800000000008</v>
      </c>
      <c r="G34" s="4">
        <f t="shared" si="3"/>
        <v>1.0270661157024685</v>
      </c>
      <c r="H34" s="1">
        <v>0.96299999999999997</v>
      </c>
      <c r="I34" s="4">
        <f xml:space="preserve"> 0.8754 - 0.000006*A34 - 0.46 *B34 + 0.01203* C34 + 21.1* B34*B34
+ 0.00111 *C34*C34 - 0.000067 *A34*B34 - 0.000001 *A34*C34 + 0.0708 *B34*C34</f>
        <v>0.94858599999999993</v>
      </c>
      <c r="J34" s="4">
        <f t="shared" si="4"/>
        <v>1.4967808930425792</v>
      </c>
      <c r="K34" s="1">
        <v>1.1890000000000001</v>
      </c>
      <c r="L34" s="4">
        <f xml:space="preserve"> 1.0719 - 0.000001* A34 - 0.262 *B34 + 0.02572 *C34 + 11.4* B34*B34
- 0.000841 *C34*C34 + 0.000025 *A34*B34 + 0.0167 *B34*C34</f>
        <v>1.1955179999999999</v>
      </c>
      <c r="M34" s="5">
        <f t="shared" si="5"/>
        <v>-0.54819175777963003</v>
      </c>
      <c r="O34" s="3">
        <f t="shared" si="0"/>
        <v>0.10961538461538452</v>
      </c>
      <c r="P34" s="3">
        <f t="shared" si="1"/>
        <v>0.19058295964125574</v>
      </c>
      <c r="Q34" s="3">
        <f t="shared" si="2"/>
        <v>0.12861736334405155</v>
      </c>
      <c r="R34" s="3">
        <f t="shared" si="6"/>
        <v>5.1835535641765629E-2</v>
      </c>
      <c r="S34">
        <f t="shared" si="7"/>
        <v>48</v>
      </c>
    </row>
    <row r="35" spans="1:19" x14ac:dyDescent="0.3">
      <c r="A35" s="1">
        <v>1500</v>
      </c>
      <c r="B35" s="1">
        <v>0.03</v>
      </c>
      <c r="C35" s="1">
        <v>4</v>
      </c>
      <c r="D35" s="1" t="s">
        <v>18</v>
      </c>
      <c r="E35" s="1">
        <v>0.76200000000000001</v>
      </c>
      <c r="F35" s="4">
        <f>0.6207 - 0.000019 *A35 - 0.05 *B35 + 0.04495* C35 + 15.9 *B35*B35
- 0.001936 *C35*C35 + 0.000017 *A35*B35 + 0.000001 *A35*C35 + 0.0042 *B35*C35</f>
        <v>0.76110300000000009</v>
      </c>
      <c r="G35" s="4">
        <f t="shared" si="3"/>
        <v>0.11771653543306111</v>
      </c>
      <c r="H35" s="1">
        <v>0.77900000000000003</v>
      </c>
      <c r="I35" s="4">
        <f xml:space="preserve"> 0.7436 - 0.000007 *A35 - 0.41 *B35 + 0.00578 *C35 + 21.1 *B35*B35
+ 0.00111 *C35*C35 - 0.000067 *A35*B35 - 0.000001 *A35*C35+ 0.0708* B35*C35</f>
        <v>0.78015100000000004</v>
      </c>
      <c r="J35" s="4">
        <f t="shared" si="4"/>
        <v>-0.14775353016688231</v>
      </c>
      <c r="K35" s="1">
        <v>1.071</v>
      </c>
      <c r="L35" s="4">
        <f xml:space="preserve">  0.983 - 0.000002 *A35 - 0.292 *B35 + 0.02482* C35 + 11.4 *B35*B35
- 0.000841 *C35*C35 + 0.000025 *A35*B35 + 0.0167* B35*C35</f>
        <v>1.0704529999999999</v>
      </c>
      <c r="M35" s="5">
        <f t="shared" si="5"/>
        <v>5.1073762838475749E-2</v>
      </c>
      <c r="O35" s="3">
        <f t="shared" si="0"/>
        <v>0.50576923076923064</v>
      </c>
      <c r="P35" s="3">
        <f t="shared" si="1"/>
        <v>0.60313901345291476</v>
      </c>
      <c r="Q35" s="3">
        <f t="shared" si="2"/>
        <v>0.50803858520900358</v>
      </c>
      <c r="R35" s="3">
        <f t="shared" si="6"/>
        <v>0.39367085371531135</v>
      </c>
      <c r="S35">
        <f t="shared" si="7"/>
        <v>25</v>
      </c>
    </row>
    <row r="36" spans="1:19" x14ac:dyDescent="0.3">
      <c r="A36" s="1">
        <v>1500</v>
      </c>
      <c r="B36" s="1">
        <v>0.03</v>
      </c>
      <c r="C36" s="1">
        <v>8</v>
      </c>
      <c r="D36" s="1" t="s">
        <v>16</v>
      </c>
      <c r="E36" s="1">
        <v>1.0249999999999999</v>
      </c>
      <c r="F36" s="4">
        <f t="shared" ref="F36:F38" si="29" xml:space="preserve"> 0.7914 - 0.000016 *A36 - 0.35 *B36 + 0.04505 *C36 + 15.9* B36*B36
- 0.001936 *C36*C36 + 0.000017 *A36*B36 + 0.000001 *A36*C36 + 0.0042 *B36*C36</f>
        <v>1.0214789999999998</v>
      </c>
      <c r="G36" s="4">
        <f t="shared" si="3"/>
        <v>0.34351219512196174</v>
      </c>
      <c r="H36" s="1">
        <v>1.048</v>
      </c>
      <c r="I36" s="4">
        <f t="shared" ref="I36:I38" si="30" xml:space="preserve"> 0.8754 - 0.000006*A36 - 0.46 *B36 + 0.01203* C36 + 21.1* B36*B36
+ 0.00111 *C36*C36 - 0.000067 *A36*B36 - 0.000001 *A36*C36 + 0.0708 *B36*C36</f>
        <v>1.0408469999999999</v>
      </c>
      <c r="J36" s="4">
        <f t="shared" si="4"/>
        <v>0.68253816793894906</v>
      </c>
      <c r="K36" s="1">
        <v>1.2290000000000001</v>
      </c>
      <c r="L36" s="4">
        <f t="shared" ref="L36:L38" si="31" xml:space="preserve"> 1.0719 - 0.000001* A36 - 0.262 *B36 + 0.02572 *C36 + 11.4* B36*B36
- 0.000841 *C36*C36 + 0.000025 *A36*B36 + 0.0167 *B36*C36</f>
        <v>1.2298689999999999</v>
      </c>
      <c r="M36" s="5">
        <f t="shared" si="5"/>
        <v>-7.0707892595588809E-2</v>
      </c>
      <c r="O36" s="3">
        <f t="shared" si="0"/>
        <v>0</v>
      </c>
      <c r="P36" s="3">
        <f t="shared" si="1"/>
        <v>0</v>
      </c>
      <c r="Q36" s="3">
        <f t="shared" si="2"/>
        <v>0</v>
      </c>
      <c r="R36" s="3">
        <f t="shared" si="6"/>
        <v>0</v>
      </c>
      <c r="S36">
        <f t="shared" si="7"/>
        <v>60</v>
      </c>
    </row>
    <row r="37" spans="1:19" x14ac:dyDescent="0.3">
      <c r="A37" s="1">
        <v>3500</v>
      </c>
      <c r="B37" s="1">
        <v>0.02</v>
      </c>
      <c r="C37" s="1">
        <v>8</v>
      </c>
      <c r="D37" s="1" t="s">
        <v>16</v>
      </c>
      <c r="E37" s="1">
        <v>1.0069999999999999</v>
      </c>
      <c r="F37" s="4">
        <f t="shared" si="29"/>
        <v>1.001118</v>
      </c>
      <c r="G37" s="4">
        <f t="shared" si="3"/>
        <v>0.5841112214498454</v>
      </c>
      <c r="H37" s="1">
        <v>1.018</v>
      </c>
      <c r="I37" s="4">
        <f t="shared" si="30"/>
        <v>0.99955799999999995</v>
      </c>
      <c r="J37" s="4">
        <f t="shared" si="4"/>
        <v>1.8115913555992207</v>
      </c>
      <c r="K37" s="1">
        <v>1.218</v>
      </c>
      <c r="L37" s="4">
        <f t="shared" si="31"/>
        <v>1.2240779999999998</v>
      </c>
      <c r="M37" s="5">
        <f t="shared" si="5"/>
        <v>-0.49901477832510721</v>
      </c>
      <c r="O37" s="3">
        <f t="shared" si="0"/>
        <v>3.4615384615384652E-2</v>
      </c>
      <c r="P37" s="3">
        <f t="shared" si="1"/>
        <v>6.7264573991031446E-2</v>
      </c>
      <c r="Q37" s="3">
        <f t="shared" si="2"/>
        <v>3.536977491961453E-2</v>
      </c>
      <c r="R37" s="3">
        <f t="shared" si="6"/>
        <v>9.0749434368101369E-3</v>
      </c>
      <c r="S37">
        <f t="shared" si="7"/>
        <v>58</v>
      </c>
    </row>
    <row r="38" spans="1:19" x14ac:dyDescent="0.3">
      <c r="A38" s="1">
        <v>3500</v>
      </c>
      <c r="B38" s="1">
        <v>0.02</v>
      </c>
      <c r="C38" s="1">
        <v>6</v>
      </c>
      <c r="D38" s="1" t="s">
        <v>16</v>
      </c>
      <c r="E38" s="1">
        <v>0.96799999999999997</v>
      </c>
      <c r="F38" s="4">
        <f t="shared" si="29"/>
        <v>0.95805800000000008</v>
      </c>
      <c r="G38" s="4">
        <f t="shared" si="3"/>
        <v>1.0270661157024685</v>
      </c>
      <c r="H38" s="1">
        <v>0.96299999999999997</v>
      </c>
      <c r="I38" s="4">
        <f t="shared" si="30"/>
        <v>0.94858599999999993</v>
      </c>
      <c r="J38" s="4">
        <f t="shared" si="4"/>
        <v>1.4967808930425792</v>
      </c>
      <c r="K38" s="1">
        <v>1.1890000000000001</v>
      </c>
      <c r="L38" s="4">
        <f t="shared" si="31"/>
        <v>1.1955179999999999</v>
      </c>
      <c r="M38" s="5">
        <f t="shared" si="5"/>
        <v>-0.54819175777963003</v>
      </c>
      <c r="O38" s="3">
        <f t="shared" si="0"/>
        <v>0.10961538461538452</v>
      </c>
      <c r="P38" s="3">
        <f t="shared" si="1"/>
        <v>0.19058295964125574</v>
      </c>
      <c r="Q38" s="3">
        <f t="shared" si="2"/>
        <v>0.12861736334405155</v>
      </c>
      <c r="R38" s="3">
        <f t="shared" si="6"/>
        <v>5.1835535641765629E-2</v>
      </c>
      <c r="S38">
        <f t="shared" si="7"/>
        <v>48</v>
      </c>
    </row>
    <row r="39" spans="1:19" x14ac:dyDescent="0.3">
      <c r="A39" s="1">
        <v>3500</v>
      </c>
      <c r="B39" s="1">
        <v>0.02</v>
      </c>
      <c r="C39" s="1">
        <v>6</v>
      </c>
      <c r="D39" s="1" t="s">
        <v>12</v>
      </c>
      <c r="E39" s="1">
        <v>0.63500000000000001</v>
      </c>
      <c r="F39" s="4">
        <f>0.4613 - 0.000019 *A39 - 0.03 *B39 + 0.04575* C39 + 15.9 *B39*B39
- 0.001936 *C39*C39 + 0.000017 *A39*B39 + 0.000001 *A39*C39 + 0.0042 *B39*C39</f>
        <v>0.62805800000000001</v>
      </c>
      <c r="G39" s="4">
        <f t="shared" si="3"/>
        <v>1.0932283464566934</v>
      </c>
      <c r="H39" s="1">
        <v>0.67200000000000004</v>
      </c>
      <c r="I39" s="4">
        <f xml:space="preserve"> 0.5715 - 0.000007 *A39 - 0.27* B39 + 0.01353 *C39 + 21.1 *B39*B39
+ 0.00111 *C39*C39 - 0.000067 *A39*B39 - 0.000001 *A39*C39 + 0.0708* B39*C39</f>
        <v>0.65398600000000007</v>
      </c>
      <c r="J39" s="4">
        <f t="shared" si="4"/>
        <v>2.680654761904758</v>
      </c>
      <c r="K39" s="1">
        <v>0.99299999999999999</v>
      </c>
      <c r="L39" s="4">
        <f>0.8217 - 0.000003* A39 - 0.242 *B39 + 0.03472* C39 + 11.4 *B39*B39
- 0.000841 *C39*C39+ 0.000025 *A39*B39 + 0.0167 *B39*C39</f>
        <v>0.99271799999999999</v>
      </c>
      <c r="M39" s="5">
        <f t="shared" si="5"/>
        <v>2.8398791540785947E-2</v>
      </c>
      <c r="O39" s="3">
        <f t="shared" si="0"/>
        <v>0.75</v>
      </c>
      <c r="P39" s="3">
        <f t="shared" si="1"/>
        <v>0.84304932735425997</v>
      </c>
      <c r="Q39" s="3">
        <f t="shared" si="2"/>
        <v>0.75884244372990373</v>
      </c>
      <c r="R39" s="3">
        <f t="shared" si="6"/>
        <v>0.69268045216807494</v>
      </c>
      <c r="S39">
        <f t="shared" si="7"/>
        <v>8</v>
      </c>
    </row>
    <row r="40" spans="1:19" x14ac:dyDescent="0.3">
      <c r="A40" s="1">
        <v>3500</v>
      </c>
      <c r="B40" s="1">
        <v>0.02</v>
      </c>
      <c r="C40" s="1">
        <v>8</v>
      </c>
      <c r="D40" s="1" t="s">
        <v>18</v>
      </c>
      <c r="E40" s="1">
        <v>0.82499999999999996</v>
      </c>
      <c r="F40" s="4">
        <f>0.6207 - 0.000019 *A40 - 0.05 *B40 + 0.04495* C40 + 15.9 *B40*B40
- 0.001936 *C40*C40 + 0.000017 *A40*B40 + 0.000001 *A40*C40 + 0.0042 *B40*C40</f>
        <v>0.82511800000000013</v>
      </c>
      <c r="G40" s="4">
        <f t="shared" si="3"/>
        <v>-1.4303030303051339E-2</v>
      </c>
      <c r="H40" s="1">
        <v>0.83099999999999996</v>
      </c>
      <c r="I40" s="4">
        <f xml:space="preserve"> 0.7436 - 0.000007 *A40 - 0.41 *B40 + 0.00578 *C40 + 21.1 *B40*B40
+ 0.00111 *C40*C40 - 0.000067 *A40*B40 - 0.000001 *A40*C40+ 0.0708* B40*C40</f>
        <v>0.81525800000000015</v>
      </c>
      <c r="J40" s="4">
        <f t="shared" si="4"/>
        <v>1.8943441636582206</v>
      </c>
      <c r="K40" s="1">
        <v>1.125</v>
      </c>
      <c r="L40" s="4">
        <f xml:space="preserve">  0.983 - 0.000002 *A40 - 0.292 *B40 + 0.02482* C40 + 11.4 *B40*B40
- 0.000841 *C40*C40 + 0.000025 *A40*B40 + 0.0167* B40*C40</f>
        <v>1.1238779999999997</v>
      </c>
      <c r="M40" s="5">
        <f t="shared" si="5"/>
        <v>9.9733333333359056E-2</v>
      </c>
      <c r="O40" s="3">
        <f t="shared" si="0"/>
        <v>0.38461538461538458</v>
      </c>
      <c r="P40" s="3">
        <f t="shared" si="1"/>
        <v>0.48654708520179385</v>
      </c>
      <c r="Q40" s="3">
        <f t="shared" si="2"/>
        <v>0.33440514469453397</v>
      </c>
      <c r="R40" s="3">
        <f t="shared" si="6"/>
        <v>0.25015675733705117</v>
      </c>
      <c r="S40">
        <f t="shared" si="7"/>
        <v>38</v>
      </c>
    </row>
    <row r="41" spans="1:19" x14ac:dyDescent="0.3">
      <c r="A41" s="1">
        <v>3500</v>
      </c>
      <c r="B41" s="1">
        <v>0.03</v>
      </c>
      <c r="C41" s="1">
        <v>6</v>
      </c>
      <c r="D41" s="1" t="s">
        <v>16</v>
      </c>
      <c r="E41" s="1">
        <v>0.97299999999999998</v>
      </c>
      <c r="F41" s="4">
        <f xml:space="preserve"> 0.7914 - 0.000016 *A41 - 0.35 *B41 + 0.04505 *C41 + 15.9* B41*B41
- 0.001936 *C41*C41 + 0.000017 *A41*B41 + 0.000001 *A41*C41 + 0.0042 *B41*C41</f>
        <v>0.96335500000000018</v>
      </c>
      <c r="G41" s="4">
        <f t="shared" si="3"/>
        <v>0.99126413155187998</v>
      </c>
      <c r="H41" s="1">
        <v>0.97199999999999998</v>
      </c>
      <c r="I41" s="4">
        <f xml:space="preserve"> 0.8754 - 0.000006*A41 - 0.46 *B41 + 0.01203* C41 + 21.1* B41*B41
+ 0.00111 *C41*C41 - 0.000067 *A41*B41 - 0.000001 *A41*C41 + 0.0708 *B41*C41</f>
        <v>0.95643899999999982</v>
      </c>
      <c r="J41" s="4">
        <f t="shared" si="4"/>
        <v>1.6009259259259421</v>
      </c>
      <c r="K41" s="1">
        <v>1.1930000000000001</v>
      </c>
      <c r="L41" s="4">
        <f xml:space="preserve"> 1.0719 - 0.000001* A41 - 0.262 *B41 + 0.02572 *C41 + 11.4* B41*B41
- 0.000841 *C41*C41 + 0.000025 *A41*B41 + 0.0167 *B41*C41</f>
        <v>1.2004750000000002</v>
      </c>
      <c r="M41" s="5">
        <f t="shared" si="5"/>
        <v>-0.626571668063715</v>
      </c>
      <c r="O41" s="3">
        <f t="shared" si="0"/>
        <v>9.9999999999999895E-2</v>
      </c>
      <c r="P41" s="3">
        <f t="shared" si="1"/>
        <v>0.17040358744394632</v>
      </c>
      <c r="Q41" s="3">
        <f t="shared" si="2"/>
        <v>0.11575562700964638</v>
      </c>
      <c r="R41" s="3">
        <f t="shared" si="6"/>
        <v>4.4413031994299926E-2</v>
      </c>
      <c r="S41">
        <f t="shared" si="7"/>
        <v>54</v>
      </c>
    </row>
    <row r="42" spans="1:19" x14ac:dyDescent="0.3">
      <c r="A42" s="1">
        <v>5500</v>
      </c>
      <c r="B42" s="1">
        <v>0.03</v>
      </c>
      <c r="C42" s="1">
        <v>8</v>
      </c>
      <c r="D42" s="1" t="s">
        <v>12</v>
      </c>
      <c r="E42" s="1">
        <v>0.67800000000000005</v>
      </c>
      <c r="F42" s="4">
        <f>0.4613 - 0.000019 *A42 - 0.03 *B42 + 0.04575* C42 + 15.9 *B42*B42
- 0.001936 *C42*C42 + 0.000017 *A42*B42 + 0.000001 *A42*C42 + 0.0042 *B42*C42</f>
        <v>0.66011900000000001</v>
      </c>
      <c r="G42" s="4">
        <f t="shared" si="3"/>
        <v>2.6373156342182944</v>
      </c>
      <c r="H42" s="1">
        <v>0.72299999999999998</v>
      </c>
      <c r="I42" s="4">
        <f xml:space="preserve"> 0.5715 - 0.000007 *A42 - 0.27* B42 + 0.01353 *C42 + 21.1 *B42*B42
+ 0.00111 *C42*C42 - 0.000067 *A42*B42 - 0.000001 *A42*C42 + 0.0708* B42*C42</f>
        <v>0.68510699999999991</v>
      </c>
      <c r="J42" s="4">
        <f t="shared" si="4"/>
        <v>5.2410788381742828</v>
      </c>
      <c r="K42" s="1">
        <v>1.0249999999999999</v>
      </c>
      <c r="L42" s="4">
        <f>0.8217 - 0.000003* A42 - 0.242 *B42 + 0.03472* C42 + 11.4 *B42*B42
- 0.000841 *C42*C42+ 0.000025 *A42*B42 + 0.0167 *B42*C42</f>
        <v>1.0402689999999997</v>
      </c>
      <c r="M42" s="5">
        <f t="shared" si="5"/>
        <v>-1.4896585365853421</v>
      </c>
      <c r="O42" s="3">
        <f t="shared" si="0"/>
        <v>0.66730769230769216</v>
      </c>
      <c r="P42" s="3">
        <f t="shared" si="1"/>
        <v>0.72869955156950672</v>
      </c>
      <c r="Q42" s="3">
        <f t="shared" si="2"/>
        <v>0.65594855305466282</v>
      </c>
      <c r="R42" s="3">
        <f t="shared" si="6"/>
        <v>0.56477076274168536</v>
      </c>
      <c r="S42">
        <f t="shared" si="7"/>
        <v>17</v>
      </c>
    </row>
    <row r="43" spans="1:19" x14ac:dyDescent="0.3">
      <c r="A43" s="1">
        <v>3500</v>
      </c>
      <c r="B43" s="1">
        <v>0.02</v>
      </c>
      <c r="C43" s="1">
        <v>6</v>
      </c>
      <c r="D43" s="1" t="s">
        <v>18</v>
      </c>
      <c r="E43" s="1">
        <v>0.78600000000000003</v>
      </c>
      <c r="F43" s="4">
        <f>0.6207 - 0.000019 *A43 - 0.05 *B43 + 0.04495* C43 + 15.9 *B43*B43
- 0.001936 *C43*C43 + 0.000017 *A43*B43 + 0.000001 *A43*C43 + 0.0042 *B43*C43</f>
        <v>0.78225800000000001</v>
      </c>
      <c r="G43" s="4">
        <f t="shared" si="3"/>
        <v>0.47608142493638972</v>
      </c>
      <c r="H43" s="1">
        <v>0.79200000000000004</v>
      </c>
      <c r="I43" s="4">
        <f xml:space="preserve"> 0.7436 - 0.000007 *A43 - 0.41 *B43 + 0.00578 *C43 + 21.1 *B43*B43
+ 0.00111 *C43*C43 - 0.000067 *A43*B43 - 0.000001 *A43*C43+ 0.0708* B43*C43</f>
        <v>0.77678600000000009</v>
      </c>
      <c r="J43" s="4">
        <f t="shared" si="4"/>
        <v>1.9209595959595895</v>
      </c>
      <c r="K43" s="1">
        <v>1.089</v>
      </c>
      <c r="L43" s="4">
        <f xml:space="preserve">  0.983 - 0.000002 *A43 - 0.292 *B43 + 0.02482* C43 + 11.4 *B43*B43
- 0.000841 *C43*C43 + 0.000025 *A43*B43 + 0.0167* B43*C43</f>
        <v>1.0971179999999998</v>
      </c>
      <c r="M43" s="5">
        <f t="shared" si="5"/>
        <v>-0.74545454545453149</v>
      </c>
      <c r="O43" s="3">
        <f t="shared" si="0"/>
        <v>0.45961538461538448</v>
      </c>
      <c r="P43" s="3">
        <f t="shared" si="1"/>
        <v>0.57399103139013441</v>
      </c>
      <c r="Q43" s="3">
        <f t="shared" si="2"/>
        <v>0.4501607717041804</v>
      </c>
      <c r="R43" s="3">
        <f t="shared" si="6"/>
        <v>0.34461458602441442</v>
      </c>
      <c r="S43">
        <f t="shared" si="7"/>
        <v>28</v>
      </c>
    </row>
    <row r="44" spans="1:19" x14ac:dyDescent="0.3">
      <c r="A44" s="1">
        <v>3500</v>
      </c>
      <c r="B44" s="1">
        <v>0.02</v>
      </c>
      <c r="C44" s="1">
        <v>4</v>
      </c>
      <c r="D44" s="1" t="s">
        <v>16</v>
      </c>
      <c r="E44" s="1">
        <v>0.90200000000000002</v>
      </c>
      <c r="F44" s="4">
        <f xml:space="preserve"> 0.7914 - 0.000016 *A44 - 0.35 *B44 + 0.04505 *C44 + 15.9* B44*B44
- 0.001936 *C44*C44 + 0.000017 *A44*B44 + 0.000001 *A44*C44 + 0.0042 *B44*C44</f>
        <v>0.89951000000000014</v>
      </c>
      <c r="G44" s="4">
        <f t="shared" si="3"/>
        <v>0.27605321507759212</v>
      </c>
      <c r="H44" s="1">
        <v>0.92300000000000004</v>
      </c>
      <c r="I44" s="4">
        <f xml:space="preserve"> 0.8754 - 0.000006*A44 - 0.46 *B44 + 0.01203* C44 + 21.1* B44*B44
+ 0.00111 *C44*C44 - 0.000067 *A44*B44 - 0.000001 *A44*C44 + 0.0708 *B44*C44</f>
        <v>0.90649400000000002</v>
      </c>
      <c r="J44" s="4">
        <f t="shared" si="4"/>
        <v>1.7882990249187454</v>
      </c>
      <c r="K44" s="1">
        <v>1.153</v>
      </c>
      <c r="L44" s="4">
        <f xml:space="preserve"> 1.0719 - 0.000001* A44 - 0.262 *B44 + 0.02572 *C44 + 11.4* B44*B44
- 0.000841 *C44*C44 + 0.000025 *A44*B44 + 0.0167 *B44*C44</f>
        <v>1.1602300000000001</v>
      </c>
      <c r="M44" s="5">
        <f t="shared" si="5"/>
        <v>-0.62705984388552205</v>
      </c>
      <c r="O44" s="3">
        <f t="shared" si="0"/>
        <v>0.23653846153846136</v>
      </c>
      <c r="P44" s="3">
        <f t="shared" si="1"/>
        <v>0.2802690582959641</v>
      </c>
      <c r="Q44" s="3">
        <f t="shared" si="2"/>
        <v>0.24437299035369792</v>
      </c>
      <c r="R44" s="3">
        <f t="shared" si="6"/>
        <v>0.12728143490499061</v>
      </c>
      <c r="S44">
        <f t="shared" si="7"/>
        <v>43</v>
      </c>
    </row>
    <row r="45" spans="1:19" x14ac:dyDescent="0.3">
      <c r="A45" s="1">
        <v>5500</v>
      </c>
      <c r="B45" s="1">
        <v>0.01</v>
      </c>
      <c r="C45" s="1">
        <v>4</v>
      </c>
      <c r="D45" s="1" t="s">
        <v>12</v>
      </c>
      <c r="E45" s="1">
        <v>0.505</v>
      </c>
      <c r="F45" s="4">
        <f t="shared" ref="F45:F47" si="32">0.4613 - 0.000019 *A45 - 0.03 *B45 + 0.04575* C45 + 15.9 *B45*B45
- 0.001936 *C45*C45 + 0.000017 *A45*B45 + 0.000001 *A45*C45 + 0.0042 *B45*C45</f>
        <v>0.53321699999999994</v>
      </c>
      <c r="G45" s="4">
        <f t="shared" si="3"/>
        <v>-5.5875247524752352</v>
      </c>
      <c r="H45" s="1">
        <v>0.60199999999999998</v>
      </c>
      <c r="I45" s="4">
        <f t="shared" ref="I45:I47" si="33" xml:space="preserve"> 0.5715 - 0.000007 *A45 - 0.27* B45 + 0.01353 *C45 + 21.1 *B45*B45
+ 0.00111 *C45*C45 - 0.000067 *A45*B45 - 0.000001 *A45*C45 + 0.0708* B45*C45</f>
        <v>0.58143699999999976</v>
      </c>
      <c r="J45" s="4">
        <f t="shared" si="4"/>
        <v>3.4157807308970467</v>
      </c>
      <c r="K45" s="1">
        <v>0.91800000000000004</v>
      </c>
      <c r="L45" s="4">
        <f t="shared" ref="L45:L47" si="34">0.8217 - 0.000003* A45 - 0.242 *B45 + 0.03472* C45 + 11.4 *B45*B45
- 0.000841 *C45*C45+ 0.000025 *A45*B45 + 0.0167 *B45*C45</f>
        <v>0.93138700000000008</v>
      </c>
      <c r="M45" s="5">
        <f t="shared" si="5"/>
        <v>-1.4582788671024007</v>
      </c>
      <c r="N45" s="8"/>
      <c r="O45" s="9">
        <f t="shared" si="0"/>
        <v>1</v>
      </c>
      <c r="P45" s="9">
        <f t="shared" si="1"/>
        <v>1</v>
      </c>
      <c r="Q45" s="9">
        <f t="shared" si="2"/>
        <v>1</v>
      </c>
      <c r="R45" s="3">
        <f t="shared" si="6"/>
        <v>1</v>
      </c>
      <c r="S45" s="8">
        <f t="shared" si="7"/>
        <v>1</v>
      </c>
    </row>
    <row r="46" spans="1:19" x14ac:dyDescent="0.3">
      <c r="A46" s="1">
        <v>3500</v>
      </c>
      <c r="B46" s="1">
        <v>0.02</v>
      </c>
      <c r="C46" s="1">
        <v>6</v>
      </c>
      <c r="D46" s="1" t="s">
        <v>12</v>
      </c>
      <c r="E46" s="1">
        <v>0.63500000000000001</v>
      </c>
      <c r="F46" s="4">
        <f t="shared" si="32"/>
        <v>0.62805800000000001</v>
      </c>
      <c r="G46" s="4">
        <f t="shared" si="3"/>
        <v>1.0932283464566934</v>
      </c>
      <c r="H46" s="1">
        <v>0.67200000000000004</v>
      </c>
      <c r="I46" s="4">
        <f t="shared" si="33"/>
        <v>0.65398600000000007</v>
      </c>
      <c r="J46" s="4">
        <f t="shared" si="4"/>
        <v>2.680654761904758</v>
      </c>
      <c r="K46" s="1">
        <v>0.99299999999999999</v>
      </c>
      <c r="L46" s="4">
        <f t="shared" si="34"/>
        <v>0.99271799999999999</v>
      </c>
      <c r="M46" s="5">
        <f t="shared" si="5"/>
        <v>2.8398791540785947E-2</v>
      </c>
      <c r="O46" s="3">
        <f t="shared" si="0"/>
        <v>0.75</v>
      </c>
      <c r="P46" s="3">
        <f t="shared" si="1"/>
        <v>0.84304932735425997</v>
      </c>
      <c r="Q46" s="3">
        <f t="shared" si="2"/>
        <v>0.75884244372990373</v>
      </c>
      <c r="R46" s="3">
        <f t="shared" si="6"/>
        <v>0.69268045216807494</v>
      </c>
      <c r="S46">
        <f t="shared" si="7"/>
        <v>8</v>
      </c>
    </row>
    <row r="47" spans="1:19" x14ac:dyDescent="0.3">
      <c r="A47" s="1">
        <v>1500</v>
      </c>
      <c r="B47" s="1">
        <v>0.02</v>
      </c>
      <c r="C47" s="1">
        <v>6</v>
      </c>
      <c r="D47" s="1" t="s">
        <v>12</v>
      </c>
      <c r="E47" s="1">
        <v>0.65200000000000002</v>
      </c>
      <c r="F47" s="4">
        <f t="shared" si="32"/>
        <v>0.6533779999999999</v>
      </c>
      <c r="G47" s="4">
        <f t="shared" si="3"/>
        <v>-0.21134969325151523</v>
      </c>
      <c r="H47" s="1">
        <v>0.70299999999999996</v>
      </c>
      <c r="I47" s="4">
        <f t="shared" si="33"/>
        <v>0.68266600000000011</v>
      </c>
      <c r="J47" s="4">
        <f t="shared" si="4"/>
        <v>2.8924608819345452</v>
      </c>
      <c r="K47" s="1">
        <v>1.01</v>
      </c>
      <c r="L47" s="4">
        <f t="shared" si="34"/>
        <v>0.99771799999999999</v>
      </c>
      <c r="M47" s="5">
        <f t="shared" si="5"/>
        <v>1.2160396039603976</v>
      </c>
      <c r="O47" s="3">
        <f t="shared" si="0"/>
        <v>0.7173076923076922</v>
      </c>
      <c r="P47" s="3">
        <f t="shared" si="1"/>
        <v>0.77354260089686111</v>
      </c>
      <c r="Q47" s="3">
        <f t="shared" si="2"/>
        <v>0.70418006430868185</v>
      </c>
      <c r="R47" s="3">
        <f t="shared" si="6"/>
        <v>0.62508161445588928</v>
      </c>
      <c r="S47">
        <f t="shared" si="7"/>
        <v>15</v>
      </c>
    </row>
    <row r="48" spans="1:19" x14ac:dyDescent="0.3">
      <c r="A48" s="1">
        <v>3500</v>
      </c>
      <c r="B48" s="1">
        <v>0.01</v>
      </c>
      <c r="C48" s="1">
        <v>6</v>
      </c>
      <c r="D48" s="1" t="s">
        <v>18</v>
      </c>
      <c r="E48" s="1">
        <v>0.78200000000000003</v>
      </c>
      <c r="F48" s="4">
        <f>0.6207 - 0.000019 *A48 - 0.05 *B48 + 0.04495* C48 + 15.9 *B48*B48
- 0.001936 *C48*C48 + 0.000017 *A48*B48 + 0.000001 *A48*C48 + 0.0042 *B48*C48</f>
        <v>0.77714100000000019</v>
      </c>
      <c r="G48" s="4">
        <f t="shared" si="3"/>
        <v>0.62135549872120666</v>
      </c>
      <c r="H48" s="1">
        <v>0.78900000000000003</v>
      </c>
      <c r="I48" s="4">
        <f xml:space="preserve"> 0.7436 - 0.000007 *A48 - 0.41 *B48 + 0.00578 *C48 + 21.1 *B48*B48
+ 0.00111 *C48*C48 - 0.000067 *A48*B48 - 0.000001 *A48*C48+ 0.0708* B48*C48</f>
        <v>0.77265300000000003</v>
      </c>
      <c r="J48" s="4">
        <f t="shared" si="4"/>
        <v>2.0718631178707225</v>
      </c>
      <c r="K48" s="1">
        <v>1.0840000000000001</v>
      </c>
      <c r="L48" s="4">
        <f xml:space="preserve">  0.983 - 0.000002 *A48 - 0.292 *B48 + 0.02482* C48 + 11.4 *B48*B48
- 0.000841 *C48*C48 + 0.000025 *A48*B48 + 0.0167* B48*C48</f>
        <v>1.0947409999999997</v>
      </c>
      <c r="M48" s="5">
        <f t="shared" si="5"/>
        <v>-0.99086715867155584</v>
      </c>
      <c r="O48" s="3">
        <f t="shared" si="0"/>
        <v>0.46730769230769215</v>
      </c>
      <c r="P48" s="3">
        <f t="shared" si="1"/>
        <v>0.58071748878923757</v>
      </c>
      <c r="Q48" s="3">
        <f t="shared" si="2"/>
        <v>0.46623794212218644</v>
      </c>
      <c r="R48" s="3">
        <f t="shared" si="6"/>
        <v>0.35570316071824087</v>
      </c>
      <c r="S48">
        <f t="shared" si="7"/>
        <v>27</v>
      </c>
    </row>
    <row r="49" spans="1:19" x14ac:dyDescent="0.3">
      <c r="A49" s="1">
        <v>3500</v>
      </c>
      <c r="B49" s="1">
        <v>0.02</v>
      </c>
      <c r="C49" s="1">
        <v>6</v>
      </c>
      <c r="D49" s="1" t="s">
        <v>16</v>
      </c>
      <c r="E49" s="1">
        <v>0.96799999999999997</v>
      </c>
      <c r="F49" s="4">
        <f xml:space="preserve"> 0.7914 - 0.000016 *A49 - 0.35 *B49 + 0.04505 *C49 + 15.9* B49*B49
- 0.001936 *C49*C49 + 0.000017 *A49*B49 + 0.000001 *A49*C49 + 0.0042 *B49*C49</f>
        <v>0.95805800000000008</v>
      </c>
      <c r="G49" s="4">
        <f t="shared" si="3"/>
        <v>1.0270661157024685</v>
      </c>
      <c r="H49" s="1">
        <v>0.96299999999999997</v>
      </c>
      <c r="I49" s="4">
        <f xml:space="preserve"> 0.8754 - 0.000006*A49 - 0.46 *B49 + 0.01203* C49 + 21.1* B49*B49
+ 0.00111 *C49*C49 - 0.000067 *A49*B49 - 0.000001 *A49*C49 + 0.0708 *B49*C49</f>
        <v>0.94858599999999993</v>
      </c>
      <c r="J49" s="4">
        <f t="shared" si="4"/>
        <v>1.4967808930425792</v>
      </c>
      <c r="K49" s="1">
        <v>1.1890000000000001</v>
      </c>
      <c r="L49" s="4">
        <f xml:space="preserve"> 1.0719 - 0.000001* A49 - 0.262 *B49 + 0.02572 *C49 + 11.4* B49*B49
- 0.000841 *C49*C49 + 0.000025 *A49*B49 + 0.0167 *B49*C49</f>
        <v>1.1955179999999999</v>
      </c>
      <c r="M49" s="5">
        <f t="shared" si="5"/>
        <v>-0.54819175777963003</v>
      </c>
      <c r="O49" s="3">
        <f t="shared" si="0"/>
        <v>0.10961538461538452</v>
      </c>
      <c r="P49" s="3">
        <f t="shared" si="1"/>
        <v>0.19058295964125574</v>
      </c>
      <c r="Q49" s="3">
        <f t="shared" si="2"/>
        <v>0.12861736334405155</v>
      </c>
      <c r="R49" s="3">
        <f t="shared" si="6"/>
        <v>5.1835535641765629E-2</v>
      </c>
      <c r="S49">
        <f t="shared" si="7"/>
        <v>48</v>
      </c>
    </row>
    <row r="50" spans="1:19" x14ac:dyDescent="0.3">
      <c r="A50" s="1">
        <v>5500</v>
      </c>
      <c r="B50" s="1">
        <v>0.02</v>
      </c>
      <c r="C50" s="1">
        <v>6</v>
      </c>
      <c r="D50" s="1" t="s">
        <v>12</v>
      </c>
      <c r="E50" s="1">
        <v>0.61799999999999999</v>
      </c>
      <c r="F50" s="4">
        <f>0.4613 - 0.000019 *A50 - 0.03 *B50 + 0.04575* C50 + 15.9 *B50*B50
- 0.001936 *C50*C50 + 0.000017 *A50*B50 + 0.000001 *A50*C50 + 0.0042 *B50*C50</f>
        <v>0.60273800000000011</v>
      </c>
      <c r="G50" s="4">
        <f t="shared" si="3"/>
        <v>2.4695792880258716</v>
      </c>
      <c r="H50" s="1">
        <v>0.65600000000000003</v>
      </c>
      <c r="I50" s="4">
        <f xml:space="preserve"> 0.5715 - 0.000007 *A50 - 0.27* B50 + 0.01353 *C50 + 21.1 *B50*B50
+ 0.00111 *C50*C50 - 0.000067 *A50*B50 - 0.000001 *A50*C50 + 0.0708* B50*C50</f>
        <v>0.62530600000000003</v>
      </c>
      <c r="J50" s="4">
        <f t="shared" si="4"/>
        <v>4.6789634146341461</v>
      </c>
      <c r="K50" s="1">
        <v>0.95699999999999996</v>
      </c>
      <c r="L50" s="4">
        <f>0.8217 - 0.000003* A50 - 0.242 *B50 + 0.03472* C50 + 11.4 *B50*B50
- 0.000841 *C50*C50+ 0.000025 *A50*B50 + 0.0167 *B50*C50</f>
        <v>0.98771799999999998</v>
      </c>
      <c r="M50" s="5">
        <f t="shared" si="5"/>
        <v>-3.209822361546502</v>
      </c>
      <c r="O50" s="3">
        <f t="shared" si="0"/>
        <v>0.78269230769230769</v>
      </c>
      <c r="P50" s="3">
        <f t="shared" si="1"/>
        <v>0.87892376681614337</v>
      </c>
      <c r="Q50" s="3">
        <f t="shared" si="2"/>
        <v>0.87459807073955009</v>
      </c>
      <c r="R50" s="3">
        <f t="shared" si="6"/>
        <v>0.77566714154941219</v>
      </c>
      <c r="S50">
        <f t="shared" si="7"/>
        <v>6</v>
      </c>
    </row>
    <row r="51" spans="1:19" x14ac:dyDescent="0.3">
      <c r="A51" s="1">
        <v>3500</v>
      </c>
      <c r="B51" s="1">
        <v>0.02</v>
      </c>
      <c r="C51" s="1">
        <v>6</v>
      </c>
      <c r="D51" s="1" t="s">
        <v>18</v>
      </c>
      <c r="E51" s="1">
        <v>0.78600000000000003</v>
      </c>
      <c r="F51" s="4">
        <f t="shared" ref="F51:F52" si="35">0.6207 - 0.000019 *A51 - 0.05 *B51 + 0.04495* C51 + 15.9 *B51*B51
- 0.001936 *C51*C51 + 0.000017 *A51*B51 + 0.000001 *A51*C51 + 0.0042 *B51*C51</f>
        <v>0.78225800000000001</v>
      </c>
      <c r="G51" s="4">
        <f t="shared" si="3"/>
        <v>0.47608142493638972</v>
      </c>
      <c r="H51" s="1">
        <v>0.79200000000000004</v>
      </c>
      <c r="I51" s="4">
        <f t="shared" ref="I51:I52" si="36" xml:space="preserve"> 0.7436 - 0.000007 *A51 - 0.41 *B51 + 0.00578 *C51 + 21.1 *B51*B51
+ 0.00111 *C51*C51 - 0.000067 *A51*B51 - 0.000001 *A51*C51+ 0.0708* B51*C51</f>
        <v>0.77678600000000009</v>
      </c>
      <c r="J51" s="4">
        <f t="shared" si="4"/>
        <v>1.9209595959595895</v>
      </c>
      <c r="K51" s="1">
        <v>1.089</v>
      </c>
      <c r="L51" s="4">
        <f t="shared" ref="L51:L52" si="37" xml:space="preserve">  0.983 - 0.000002 *A51 - 0.292 *B51 + 0.02482* C51 + 11.4 *B51*B51
- 0.000841 *C51*C51 + 0.000025 *A51*B51 + 0.0167* B51*C51</f>
        <v>1.0971179999999998</v>
      </c>
      <c r="M51" s="5">
        <f t="shared" si="5"/>
        <v>-0.74545454545453149</v>
      </c>
      <c r="O51" s="3">
        <f t="shared" si="0"/>
        <v>0.45961538461538448</v>
      </c>
      <c r="P51" s="3">
        <f t="shared" si="1"/>
        <v>0.57399103139013441</v>
      </c>
      <c r="Q51" s="3">
        <f t="shared" si="2"/>
        <v>0.4501607717041804</v>
      </c>
      <c r="R51" s="3">
        <f t="shared" si="6"/>
        <v>0.34461458602441442</v>
      </c>
      <c r="S51">
        <f t="shared" si="7"/>
        <v>28</v>
      </c>
    </row>
    <row r="52" spans="1:19" x14ac:dyDescent="0.3">
      <c r="A52" s="1">
        <v>3500</v>
      </c>
      <c r="B52" s="1">
        <v>0.02</v>
      </c>
      <c r="C52" s="1">
        <v>6</v>
      </c>
      <c r="D52" s="1" t="s">
        <v>18</v>
      </c>
      <c r="E52" s="1">
        <v>0.78600000000000003</v>
      </c>
      <c r="F52" s="4">
        <f t="shared" si="35"/>
        <v>0.78225800000000001</v>
      </c>
      <c r="G52" s="4">
        <f t="shared" si="3"/>
        <v>0.47608142493638972</v>
      </c>
      <c r="H52" s="1">
        <v>0.79200000000000004</v>
      </c>
      <c r="I52" s="4">
        <f t="shared" si="36"/>
        <v>0.77678600000000009</v>
      </c>
      <c r="J52" s="4">
        <f t="shared" si="4"/>
        <v>1.9209595959595895</v>
      </c>
      <c r="K52" s="1">
        <v>1.089</v>
      </c>
      <c r="L52" s="4">
        <f t="shared" si="37"/>
        <v>1.0971179999999998</v>
      </c>
      <c r="M52" s="5">
        <f t="shared" si="5"/>
        <v>-0.74545454545453149</v>
      </c>
      <c r="O52" s="3">
        <f t="shared" si="0"/>
        <v>0.45961538461538448</v>
      </c>
      <c r="P52" s="3">
        <f t="shared" si="1"/>
        <v>0.57399103139013441</v>
      </c>
      <c r="Q52" s="3">
        <f t="shared" si="2"/>
        <v>0.4501607717041804</v>
      </c>
      <c r="R52" s="3">
        <f t="shared" si="6"/>
        <v>0.34461458602441442</v>
      </c>
      <c r="S52">
        <f t="shared" si="7"/>
        <v>28</v>
      </c>
    </row>
    <row r="53" spans="1:19" x14ac:dyDescent="0.3">
      <c r="A53" s="1">
        <v>5500</v>
      </c>
      <c r="B53" s="1">
        <v>0.03</v>
      </c>
      <c r="C53" s="1">
        <v>4</v>
      </c>
      <c r="D53" s="1" t="s">
        <v>12</v>
      </c>
      <c r="E53" s="1">
        <v>0.56200000000000006</v>
      </c>
      <c r="F53" s="4">
        <f>0.4613 - 0.000019 *A53 - 0.03 *B53 + 0.04575* C53 + 15.9 *B53*B53
- 0.001936 *C53*C53 + 0.000017 *A53*B53 + 0.000001 *A53*C53 + 0.0042 *B53*C53</f>
        <v>0.54754299999999989</v>
      </c>
      <c r="G53" s="4">
        <f t="shared" si="3"/>
        <v>2.572419928825652</v>
      </c>
      <c r="H53" s="1">
        <v>0.61499999999999999</v>
      </c>
      <c r="I53" s="4">
        <f xml:space="preserve"> 0.5715 - 0.000007 *A53 - 0.27* B53 + 0.01353 *C53 + 21.1 *B53*B53
+ 0.00111 *C53*C53 - 0.000067 *A53*B53 - 0.000001 *A53*C53 + 0.0708* B53*C53</f>
        <v>0.59121099999999993</v>
      </c>
      <c r="J53" s="4">
        <f t="shared" si="4"/>
        <v>3.8681300813008224</v>
      </c>
      <c r="K53" s="1">
        <v>0.92200000000000004</v>
      </c>
      <c r="L53" s="4">
        <f>0.8217 - 0.000003* A53 - 0.242 *B53 + 0.03472* C53 + 11.4 *B53*B53
- 0.000841 *C53*C53+ 0.000025 *A53*B53 + 0.0167 *B53*C53</f>
        <v>0.93975300000000006</v>
      </c>
      <c r="M53" s="5">
        <f t="shared" si="5"/>
        <v>-1.9254880694143186</v>
      </c>
      <c r="O53" s="3">
        <f t="shared" si="0"/>
        <v>0.89038461538461522</v>
      </c>
      <c r="P53" s="3">
        <f t="shared" si="1"/>
        <v>0.97085201793721976</v>
      </c>
      <c r="Q53" s="3">
        <f t="shared" si="2"/>
        <v>0.98713826366559487</v>
      </c>
      <c r="R53" s="3">
        <f t="shared" si="6"/>
        <v>0.92374975397797265</v>
      </c>
      <c r="S53">
        <f t="shared" si="7"/>
        <v>2</v>
      </c>
    </row>
    <row r="54" spans="1:19" x14ac:dyDescent="0.3">
      <c r="A54" s="1">
        <v>5500</v>
      </c>
      <c r="B54" s="1">
        <v>0.01</v>
      </c>
      <c r="C54" s="1">
        <v>4</v>
      </c>
      <c r="D54" s="1" t="s">
        <v>18</v>
      </c>
      <c r="E54" s="1">
        <v>0.70199999999999996</v>
      </c>
      <c r="F54" s="4">
        <f t="shared" ref="F54:F56" si="38">0.6207 - 0.000019 *A54 - 0.05 *B54 + 0.04495* C54 + 15.9 *B54*B54
- 0.001936 *C54*C54 + 0.000017 *A54*B54 + 0.000001 *A54*C54 + 0.0042 *B54*C54</f>
        <v>0.68921699999999997</v>
      </c>
      <c r="G54" s="4">
        <f t="shared" si="3"/>
        <v>1.8209401709401694</v>
      </c>
      <c r="H54" s="1">
        <v>0.752</v>
      </c>
      <c r="I54" s="4">
        <f t="shared" ref="I54:I56" si="39" xml:space="preserve"> 0.7436 - 0.000007 *A54 - 0.41 *B54 + 0.00578 *C54 + 21.1 *B54*B54
+ 0.00111 *C54*C54 - 0.000067 *A54*B54 - 0.000001 *A54*C54+ 0.0708* B54*C54</f>
        <v>0.72113699999999992</v>
      </c>
      <c r="J54" s="4">
        <f t="shared" si="4"/>
        <v>4.1041223404255431</v>
      </c>
      <c r="K54" s="1">
        <v>1.048</v>
      </c>
      <c r="L54" s="4">
        <f t="shared" ref="L54:L56" si="40" xml:space="preserve">  0.983 - 0.000002 *A54 - 0.292 *B54 + 0.02482* C54 + 11.4 *B54*B54
- 0.000841 *C54*C54 + 0.000025 *A54*B54 + 0.0167* B54*C54</f>
        <v>1.0580869999999998</v>
      </c>
      <c r="M54" s="5">
        <f t="shared" si="5"/>
        <v>-0.96249999999997471</v>
      </c>
      <c r="O54" s="3">
        <f t="shared" si="0"/>
        <v>0.62115384615384617</v>
      </c>
      <c r="P54" s="3">
        <f t="shared" si="1"/>
        <v>0.66367713004484308</v>
      </c>
      <c r="Q54" s="3">
        <f t="shared" si="2"/>
        <v>0.58199356913183287</v>
      </c>
      <c r="R54" s="3">
        <f t="shared" si="6"/>
        <v>0.4898206704776058</v>
      </c>
      <c r="S54">
        <f t="shared" si="7"/>
        <v>21</v>
      </c>
    </row>
    <row r="55" spans="1:19" x14ac:dyDescent="0.3">
      <c r="A55" s="1">
        <v>3500</v>
      </c>
      <c r="B55" s="1">
        <v>0.02</v>
      </c>
      <c r="C55" s="1">
        <v>4</v>
      </c>
      <c r="D55" s="1" t="s">
        <v>18</v>
      </c>
      <c r="E55" s="1">
        <v>0.72599999999999998</v>
      </c>
      <c r="F55" s="4">
        <f t="shared" si="38"/>
        <v>0.72391000000000005</v>
      </c>
      <c r="G55" s="4">
        <f t="shared" si="3"/>
        <v>0.28787878787877758</v>
      </c>
      <c r="H55" s="1">
        <v>0.76800000000000002</v>
      </c>
      <c r="I55" s="4">
        <f t="shared" si="39"/>
        <v>0.74719400000000014</v>
      </c>
      <c r="J55" s="4">
        <f t="shared" si="4"/>
        <v>2.7091145833333177</v>
      </c>
      <c r="K55" s="1">
        <v>1.0620000000000001</v>
      </c>
      <c r="L55" s="4">
        <f t="shared" si="40"/>
        <v>1.0636299999999999</v>
      </c>
      <c r="M55" s="5">
        <f t="shared" si="5"/>
        <v>-0.15348399246702429</v>
      </c>
      <c r="O55" s="3">
        <f t="shared" si="0"/>
        <v>0.57499999999999996</v>
      </c>
      <c r="P55" s="3">
        <f t="shared" si="1"/>
        <v>0.62780269058295957</v>
      </c>
      <c r="Q55" s="3">
        <f t="shared" si="2"/>
        <v>0.53697749196141487</v>
      </c>
      <c r="R55" s="3">
        <f t="shared" si="6"/>
        <v>0.44027451741569468</v>
      </c>
      <c r="S55">
        <f t="shared" si="7"/>
        <v>23</v>
      </c>
    </row>
    <row r="56" spans="1:19" x14ac:dyDescent="0.3">
      <c r="A56" s="1">
        <v>1500</v>
      </c>
      <c r="B56" s="1">
        <v>0.01</v>
      </c>
      <c r="C56" s="1">
        <v>8</v>
      </c>
      <c r="D56" s="1" t="s">
        <v>18</v>
      </c>
      <c r="E56" s="1">
        <v>0.84299999999999997</v>
      </c>
      <c r="F56" s="4">
        <f t="shared" si="38"/>
        <v>0.84157700000000002</v>
      </c>
      <c r="G56" s="4">
        <f t="shared" si="3"/>
        <v>0.16880189798338696</v>
      </c>
      <c r="H56" s="1">
        <v>0.85099999999999998</v>
      </c>
      <c r="I56" s="4">
        <f t="shared" si="39"/>
        <v>0.84104900000000005</v>
      </c>
      <c r="J56" s="4">
        <f t="shared" si="4"/>
        <v>1.1693301997649743</v>
      </c>
      <c r="K56" s="1">
        <v>1.129</v>
      </c>
      <c r="L56" s="4">
        <f t="shared" si="40"/>
        <v>1.1246669999999999</v>
      </c>
      <c r="M56" s="5">
        <f t="shared" si="5"/>
        <v>0.38379096545616848</v>
      </c>
      <c r="O56" s="3">
        <f t="shared" si="0"/>
        <v>0.34999999999999992</v>
      </c>
      <c r="P56" s="3">
        <f t="shared" si="1"/>
        <v>0.44170403587443952</v>
      </c>
      <c r="Q56" s="3">
        <f t="shared" si="2"/>
        <v>0.32154340836012885</v>
      </c>
      <c r="R56" s="3">
        <f t="shared" si="6"/>
        <v>0.2229561782358187</v>
      </c>
      <c r="S56">
        <f t="shared" si="7"/>
        <v>39</v>
      </c>
    </row>
    <row r="57" spans="1:19" x14ac:dyDescent="0.3">
      <c r="A57" s="1">
        <v>3500</v>
      </c>
      <c r="B57" s="1">
        <v>0.02</v>
      </c>
      <c r="C57" s="1">
        <v>6</v>
      </c>
      <c r="D57" s="1" t="s">
        <v>12</v>
      </c>
      <c r="E57" s="1">
        <v>0.63500000000000001</v>
      </c>
      <c r="F57" s="4">
        <f t="shared" ref="F57:F58" si="41">0.4613 - 0.000019 *A57 - 0.03 *B57 + 0.04575* C57 + 15.9 *B57*B57
- 0.001936 *C57*C57 + 0.000017 *A57*B57 + 0.000001 *A57*C57 + 0.0042 *B57*C57</f>
        <v>0.62805800000000001</v>
      </c>
      <c r="G57" s="4">
        <f t="shared" si="3"/>
        <v>1.0932283464566934</v>
      </c>
      <c r="H57" s="1">
        <v>0.67200000000000004</v>
      </c>
      <c r="I57" s="4">
        <f t="shared" ref="I57:I58" si="42" xml:space="preserve"> 0.5715 - 0.000007 *A57 - 0.27* B57 + 0.01353 *C57 + 21.1 *B57*B57
+ 0.00111 *C57*C57 - 0.000067 *A57*B57 - 0.000001 *A57*C57 + 0.0708* B57*C57</f>
        <v>0.65398600000000007</v>
      </c>
      <c r="J57" s="4">
        <f t="shared" si="4"/>
        <v>2.680654761904758</v>
      </c>
      <c r="K57" s="1">
        <v>0.99299999999999999</v>
      </c>
      <c r="L57" s="4">
        <f t="shared" ref="L57:L58" si="43">0.8217 - 0.000003* A57 - 0.242 *B57 + 0.03472* C57 + 11.4 *B57*B57
- 0.000841 *C57*C57+ 0.000025 *A57*B57 + 0.0167 *B57*C57</f>
        <v>0.99271799999999999</v>
      </c>
      <c r="M57" s="5">
        <f t="shared" si="5"/>
        <v>2.8398791540785947E-2</v>
      </c>
      <c r="O57" s="3">
        <f t="shared" si="0"/>
        <v>0.75</v>
      </c>
      <c r="P57" s="3">
        <f t="shared" si="1"/>
        <v>0.84304932735425997</v>
      </c>
      <c r="Q57" s="3">
        <f t="shared" si="2"/>
        <v>0.75884244372990373</v>
      </c>
      <c r="R57" s="3">
        <f t="shared" si="6"/>
        <v>0.69268045216807494</v>
      </c>
      <c r="S57">
        <f t="shared" si="7"/>
        <v>8</v>
      </c>
    </row>
    <row r="58" spans="1:19" x14ac:dyDescent="0.3">
      <c r="A58" s="1">
        <v>3500</v>
      </c>
      <c r="B58" s="1">
        <v>0.02</v>
      </c>
      <c r="C58" s="1">
        <v>6</v>
      </c>
      <c r="D58" s="1" t="s">
        <v>12</v>
      </c>
      <c r="E58" s="1">
        <v>0.63500000000000001</v>
      </c>
      <c r="F58" s="4">
        <f t="shared" si="41"/>
        <v>0.62805800000000001</v>
      </c>
      <c r="G58" s="4">
        <f t="shared" si="3"/>
        <v>1.0932283464566934</v>
      </c>
      <c r="H58" s="1">
        <v>0.67200000000000004</v>
      </c>
      <c r="I58" s="4">
        <f t="shared" si="42"/>
        <v>0.65398600000000007</v>
      </c>
      <c r="J58" s="4">
        <f t="shared" si="4"/>
        <v>2.680654761904758</v>
      </c>
      <c r="K58" s="1">
        <v>0.99299999999999999</v>
      </c>
      <c r="L58" s="4">
        <f t="shared" si="43"/>
        <v>0.99271799999999999</v>
      </c>
      <c r="M58" s="5">
        <f t="shared" si="5"/>
        <v>2.8398791540785947E-2</v>
      </c>
      <c r="O58" s="3">
        <f t="shared" si="0"/>
        <v>0.75</v>
      </c>
      <c r="P58" s="3">
        <f t="shared" si="1"/>
        <v>0.84304932735425997</v>
      </c>
      <c r="Q58" s="3">
        <f t="shared" si="2"/>
        <v>0.75884244372990373</v>
      </c>
      <c r="R58" s="3">
        <f t="shared" si="6"/>
        <v>0.69268045216807494</v>
      </c>
      <c r="S58">
        <f t="shared" si="7"/>
        <v>8</v>
      </c>
    </row>
    <row r="59" spans="1:19" x14ac:dyDescent="0.3">
      <c r="A59" s="1">
        <v>3500</v>
      </c>
      <c r="B59" s="1">
        <v>0.02</v>
      </c>
      <c r="C59" s="1">
        <v>6</v>
      </c>
      <c r="D59" s="1" t="s">
        <v>18</v>
      </c>
      <c r="E59" s="1">
        <v>0.78600000000000003</v>
      </c>
      <c r="F59" s="4">
        <f t="shared" ref="F59:F60" si="44">0.6207 - 0.000019 *A59 - 0.05 *B59 + 0.04495* C59 + 15.9 *B59*B59
- 0.001936 *C59*C59 + 0.000017 *A59*B59 + 0.000001 *A59*C59 + 0.0042 *B59*C59</f>
        <v>0.78225800000000001</v>
      </c>
      <c r="G59" s="4">
        <f t="shared" si="3"/>
        <v>0.47608142493638972</v>
      </c>
      <c r="H59" s="1">
        <v>0.79200000000000004</v>
      </c>
      <c r="I59" s="4">
        <f t="shared" ref="I59:I60" si="45" xml:space="preserve"> 0.7436 - 0.000007 *A59 - 0.41 *B59 + 0.00578 *C59 + 21.1 *B59*B59
+ 0.00111 *C59*C59 - 0.000067 *A59*B59 - 0.000001 *A59*C59+ 0.0708* B59*C59</f>
        <v>0.77678600000000009</v>
      </c>
      <c r="J59" s="4">
        <f t="shared" si="4"/>
        <v>1.9209595959595895</v>
      </c>
      <c r="K59" s="1">
        <v>1.089</v>
      </c>
      <c r="L59" s="4">
        <f t="shared" ref="L59:L60" si="46" xml:space="preserve">  0.983 - 0.000002 *A59 - 0.292 *B59 + 0.02482* C59 + 11.4 *B59*B59
- 0.000841 *C59*C59 + 0.000025 *A59*B59 + 0.0167* B59*C59</f>
        <v>1.0971179999999998</v>
      </c>
      <c r="M59" s="5">
        <f t="shared" si="5"/>
        <v>-0.74545454545453149</v>
      </c>
      <c r="O59" s="3">
        <f t="shared" si="0"/>
        <v>0.45961538461538448</v>
      </c>
      <c r="P59" s="3">
        <f t="shared" si="1"/>
        <v>0.57399103139013441</v>
      </c>
      <c r="Q59" s="3">
        <f t="shared" si="2"/>
        <v>0.4501607717041804</v>
      </c>
      <c r="R59" s="3">
        <f t="shared" si="6"/>
        <v>0.34461458602441442</v>
      </c>
      <c r="S59">
        <f t="shared" si="7"/>
        <v>28</v>
      </c>
    </row>
    <row r="60" spans="1:19" x14ac:dyDescent="0.3">
      <c r="A60" s="1">
        <v>1500</v>
      </c>
      <c r="B60" s="1">
        <v>0.02</v>
      </c>
      <c r="C60" s="1">
        <v>6</v>
      </c>
      <c r="D60" s="1" t="s">
        <v>18</v>
      </c>
      <c r="E60" s="1">
        <v>0.80500000000000005</v>
      </c>
      <c r="F60" s="4">
        <f t="shared" si="44"/>
        <v>0.80757800000000002</v>
      </c>
      <c r="G60" s="4">
        <f t="shared" si="3"/>
        <v>-0.32024844720496509</v>
      </c>
      <c r="H60" s="1">
        <v>0.80200000000000005</v>
      </c>
      <c r="I60" s="4">
        <f t="shared" si="45"/>
        <v>0.80546600000000013</v>
      </c>
      <c r="J60" s="4">
        <f t="shared" si="4"/>
        <v>-0.43216957605986034</v>
      </c>
      <c r="K60" s="1">
        <v>1.103</v>
      </c>
      <c r="L60" s="4">
        <f t="shared" si="46"/>
        <v>1.1001179999999999</v>
      </c>
      <c r="M60" s="5">
        <f t="shared" si="5"/>
        <v>0.26128739800544432</v>
      </c>
      <c r="O60" s="3">
        <f t="shared" si="0"/>
        <v>0.42307692307692291</v>
      </c>
      <c r="P60" s="3">
        <f t="shared" si="1"/>
        <v>0.55156950672645733</v>
      </c>
      <c r="Q60" s="3">
        <f t="shared" si="2"/>
        <v>0.40514469453376234</v>
      </c>
      <c r="R60" s="3">
        <f t="shared" si="6"/>
        <v>0.30747858289925678</v>
      </c>
      <c r="S60">
        <f t="shared" si="7"/>
        <v>35</v>
      </c>
    </row>
    <row r="61" spans="1:19" x14ac:dyDescent="0.3">
      <c r="A61" s="1">
        <v>3500</v>
      </c>
      <c r="B61" s="1">
        <v>0.02</v>
      </c>
      <c r="C61" s="1">
        <v>4</v>
      </c>
      <c r="D61" s="1" t="s">
        <v>12</v>
      </c>
      <c r="E61" s="1">
        <v>0.59499999999999997</v>
      </c>
      <c r="F61" s="4">
        <f>0.4613 - 0.000019 *A61 - 0.03 *B61 + 0.04575* C61 + 15.9 *B61*B61
- 0.001936 *C61*C61 + 0.000017 *A61*B61 + 0.000001 *A61*C61 + 0.0042 *B61*C61</f>
        <v>0.56811</v>
      </c>
      <c r="G61" s="4">
        <f t="shared" si="3"/>
        <v>4.5193277310924316</v>
      </c>
      <c r="H61" s="1">
        <v>0.621</v>
      </c>
      <c r="I61" s="4">
        <f xml:space="preserve"> 0.5715 - 0.000007 *A61 - 0.27* B61 + 0.01353 *C61 + 21.1 *B61*B61
+ 0.00111 *C61*C61 - 0.000067 *A61*B61 - 0.000001 *A61*C61 + 0.0708* B61*C61</f>
        <v>0.60889400000000005</v>
      </c>
      <c r="J61" s="4">
        <f t="shared" si="4"/>
        <v>1.9494363929146459</v>
      </c>
      <c r="K61" s="1">
        <v>0.92700000000000005</v>
      </c>
      <c r="L61" s="4">
        <f>0.8217 - 0.000003* A61 - 0.242 *B61 + 0.03472* C61 + 11.4 *B61*B61
- 0.000841 *C61*C61+ 0.000025 *A61*B61 + 0.0167 *B61*C61</f>
        <v>0.9394300000000001</v>
      </c>
      <c r="M61" s="5">
        <f t="shared" si="5"/>
        <v>-1.3408845738942881</v>
      </c>
      <c r="O61" s="3">
        <f t="shared" si="0"/>
        <v>0.82692307692307698</v>
      </c>
      <c r="P61" s="3">
        <f t="shared" si="1"/>
        <v>0.95739910313901344</v>
      </c>
      <c r="Q61" s="3">
        <f t="shared" si="2"/>
        <v>0.97106109324758838</v>
      </c>
      <c r="R61" s="3">
        <f t="shared" si="6"/>
        <v>0.87680363394594685</v>
      </c>
      <c r="S61">
        <f t="shared" si="7"/>
        <v>3</v>
      </c>
    </row>
    <row r="64" spans="1:19" x14ac:dyDescent="0.3">
      <c r="G64" s="10">
        <f>AVERAGE(G2:G61)</f>
        <v>0.8378918446866721</v>
      </c>
      <c r="J64" s="10">
        <f>AVERAGE(J2:J61)</f>
        <v>2.2238739834078354</v>
      </c>
      <c r="M64" s="7">
        <f>AVERAGE(M2:M61)</f>
        <v>-0.60690049496381593</v>
      </c>
    </row>
    <row r="65" spans="5:20" x14ac:dyDescent="0.3">
      <c r="S65" t="s">
        <v>14</v>
      </c>
      <c r="T65" t="s">
        <v>15</v>
      </c>
    </row>
    <row r="66" spans="5:20" x14ac:dyDescent="0.3">
      <c r="E66" s="2" t="s">
        <v>21</v>
      </c>
      <c r="F66" s="2" t="s">
        <v>22</v>
      </c>
      <c r="G66" s="2" t="s">
        <v>23</v>
      </c>
      <c r="I66" s="2" t="s">
        <v>24</v>
      </c>
      <c r="J66" s="2" t="s">
        <v>25</v>
      </c>
      <c r="K66" s="2" t="s">
        <v>26</v>
      </c>
      <c r="M66" s="2" t="s">
        <v>27</v>
      </c>
      <c r="N66" s="2" t="s">
        <v>28</v>
      </c>
      <c r="O66" s="11"/>
      <c r="R66" s="11" t="s">
        <v>21</v>
      </c>
      <c r="S66" s="2">
        <f>MIN(E67:E86)</f>
        <v>0.89600000000000002</v>
      </c>
      <c r="T66" s="2">
        <f>MAX(E67:E86)</f>
        <v>1.0249999999999999</v>
      </c>
    </row>
    <row r="67" spans="5:20" x14ac:dyDescent="0.3">
      <c r="E67" s="2">
        <v>0.997</v>
      </c>
      <c r="F67" s="2">
        <v>1.0049999999999999</v>
      </c>
      <c r="G67" s="2">
        <v>1.2050000000000001</v>
      </c>
      <c r="I67" s="2">
        <v>0.66600000000000004</v>
      </c>
      <c r="J67" s="2">
        <v>0.71199999999999997</v>
      </c>
      <c r="K67" s="2">
        <v>1.018</v>
      </c>
      <c r="M67" s="2">
        <v>0.753</v>
      </c>
      <c r="N67" s="2">
        <v>0.77600000000000002</v>
      </c>
      <c r="O67" s="11"/>
      <c r="R67" s="11" t="s">
        <v>29</v>
      </c>
      <c r="S67" s="2">
        <f>MIN(I67:I86)</f>
        <v>0.505</v>
      </c>
      <c r="T67" s="2">
        <f>MAX(I67:I86)</f>
        <v>0.69599999999999995</v>
      </c>
    </row>
    <row r="68" spans="5:20" x14ac:dyDescent="0.3">
      <c r="E68" s="2">
        <v>0.93500000000000005</v>
      </c>
      <c r="F68" s="2">
        <v>0.94099999999999995</v>
      </c>
      <c r="G68" s="2">
        <v>1.1759999999999999</v>
      </c>
      <c r="I68" s="2">
        <v>0.63500000000000001</v>
      </c>
      <c r="J68" s="2">
        <v>0.67200000000000004</v>
      </c>
      <c r="K68" s="2">
        <v>0.99299999999999999</v>
      </c>
      <c r="M68" s="2">
        <v>0.78600000000000003</v>
      </c>
      <c r="N68" s="2">
        <v>0.79200000000000004</v>
      </c>
      <c r="O68" s="11"/>
      <c r="R68" s="11" t="s">
        <v>27</v>
      </c>
      <c r="S68" s="2">
        <f>MIN(M67:M86)</f>
        <v>0.70199999999999996</v>
      </c>
      <c r="T68" s="2">
        <f>MAX(M67:M86)</f>
        <v>0.86599999999999999</v>
      </c>
    </row>
    <row r="69" spans="5:20" x14ac:dyDescent="0.3">
      <c r="E69" s="2">
        <v>0.91500000000000004</v>
      </c>
      <c r="F69" s="2">
        <v>0.92700000000000005</v>
      </c>
      <c r="G69" s="2">
        <v>1.159</v>
      </c>
      <c r="I69" s="2">
        <v>0.622</v>
      </c>
      <c r="J69" s="2">
        <v>0.66400000000000003</v>
      </c>
      <c r="K69" s="2">
        <v>0.98399999999999999</v>
      </c>
      <c r="M69" s="2">
        <v>0.77500000000000002</v>
      </c>
      <c r="N69" s="2">
        <v>0.78300000000000003</v>
      </c>
      <c r="O69" s="11"/>
    </row>
    <row r="70" spans="5:20" x14ac:dyDescent="0.3">
      <c r="E70" s="2">
        <v>0.89900000000000002</v>
      </c>
      <c r="F70" s="2">
        <v>0.91600000000000004</v>
      </c>
      <c r="G70" s="2">
        <v>1.145</v>
      </c>
      <c r="I70" s="2">
        <v>0.60499999999999998</v>
      </c>
      <c r="J70" s="2">
        <v>0.63200000000000001</v>
      </c>
      <c r="K70" s="2">
        <v>0.93500000000000005</v>
      </c>
      <c r="M70" s="2">
        <v>0.82099999999999995</v>
      </c>
      <c r="N70" s="2">
        <v>0.82599999999999996</v>
      </c>
      <c r="O70" s="11"/>
      <c r="S70" t="s">
        <v>14</v>
      </c>
      <c r="T70" t="s">
        <v>15</v>
      </c>
    </row>
    <row r="71" spans="5:20" x14ac:dyDescent="0.3">
      <c r="E71" s="2">
        <v>1.012</v>
      </c>
      <c r="F71" s="2">
        <v>1.026</v>
      </c>
      <c r="G71" s="2">
        <v>1.2230000000000001</v>
      </c>
      <c r="I71" s="2">
        <v>0.64100000000000001</v>
      </c>
      <c r="J71" s="2">
        <v>0.69499999999999995</v>
      </c>
      <c r="K71" s="2">
        <v>1.002</v>
      </c>
      <c r="M71" s="2">
        <v>0.71799999999999997</v>
      </c>
      <c r="N71" s="2">
        <v>0.76300000000000001</v>
      </c>
      <c r="O71" s="11"/>
      <c r="R71" s="11" t="s">
        <v>22</v>
      </c>
      <c r="S71">
        <f>MIN(F67:F86)</f>
        <v>0.91200000000000003</v>
      </c>
      <c r="T71">
        <f>MAX(F67:F86)</f>
        <v>1.048</v>
      </c>
    </row>
    <row r="72" spans="5:20" x14ac:dyDescent="0.3">
      <c r="E72" s="2">
        <v>0.96199999999999997</v>
      </c>
      <c r="F72" s="2">
        <v>0.95599999999999996</v>
      </c>
      <c r="G72" s="2">
        <v>1.1819999999999999</v>
      </c>
      <c r="I72" s="2">
        <v>0.68300000000000005</v>
      </c>
      <c r="J72" s="2">
        <v>0.72799999999999998</v>
      </c>
      <c r="K72" s="2">
        <v>1.0309999999999999</v>
      </c>
      <c r="M72" s="2">
        <v>0.79500000000000004</v>
      </c>
      <c r="N72" s="2">
        <v>0.79900000000000004</v>
      </c>
      <c r="O72" s="11"/>
      <c r="R72" s="11" t="s">
        <v>30</v>
      </c>
      <c r="S72">
        <f>MIN(J67:J86)</f>
        <v>0.60199999999999998</v>
      </c>
      <c r="T72">
        <f>MAX(J67:J86)</f>
        <v>0.74299999999999999</v>
      </c>
    </row>
    <row r="73" spans="5:20" x14ac:dyDescent="0.3">
      <c r="E73" s="2">
        <v>0.92</v>
      </c>
      <c r="F73" s="2">
        <v>0.93500000000000005</v>
      </c>
      <c r="G73" s="2">
        <v>1.165</v>
      </c>
      <c r="I73" s="2">
        <v>0.69599999999999995</v>
      </c>
      <c r="J73" s="2">
        <v>0.74299999999999999</v>
      </c>
      <c r="K73" s="2">
        <v>1.0409999999999999</v>
      </c>
      <c r="M73" s="2">
        <v>0.86599999999999999</v>
      </c>
      <c r="N73" s="2">
        <v>0.88200000000000001</v>
      </c>
      <c r="O73" s="11"/>
      <c r="R73" s="11" t="s">
        <v>28</v>
      </c>
      <c r="S73">
        <f>MIN(N67:N86)</f>
        <v>0.752</v>
      </c>
      <c r="T73">
        <f>MAX(N67:N86)</f>
        <v>0.88200000000000001</v>
      </c>
    </row>
    <row r="74" spans="5:20" x14ac:dyDescent="0.3">
      <c r="E74" s="2">
        <v>0.96799999999999997</v>
      </c>
      <c r="F74" s="2">
        <v>0.96299999999999997</v>
      </c>
      <c r="G74" s="2">
        <v>1.1890000000000001</v>
      </c>
      <c r="I74" s="2">
        <v>0.68899999999999995</v>
      </c>
      <c r="J74" s="2">
        <v>0.73499999999999999</v>
      </c>
      <c r="K74" s="2">
        <v>1.0369999999999999</v>
      </c>
      <c r="M74" s="2">
        <v>0.78600000000000003</v>
      </c>
      <c r="N74" s="2">
        <v>0.79200000000000004</v>
      </c>
      <c r="O74" s="11"/>
    </row>
    <row r="75" spans="5:20" x14ac:dyDescent="0.3">
      <c r="E75" s="2">
        <v>0.89600000000000002</v>
      </c>
      <c r="F75" s="2">
        <v>0.91200000000000003</v>
      </c>
      <c r="G75" s="2">
        <v>1.1379999999999999</v>
      </c>
      <c r="I75" s="2">
        <v>0.63500000000000001</v>
      </c>
      <c r="J75" s="2">
        <v>0.67200000000000004</v>
      </c>
      <c r="K75" s="2">
        <v>0.99299999999999999</v>
      </c>
      <c r="M75" s="2">
        <v>0.81499999999999995</v>
      </c>
      <c r="N75" s="2">
        <v>0.81899999999999995</v>
      </c>
      <c r="O75" s="11"/>
      <c r="S75" t="s">
        <v>14</v>
      </c>
      <c r="T75" t="s">
        <v>15</v>
      </c>
    </row>
    <row r="76" spans="5:20" x14ac:dyDescent="0.3">
      <c r="E76" s="2">
        <v>0.96799999999999997</v>
      </c>
      <c r="F76" s="2">
        <v>0.96299999999999997</v>
      </c>
      <c r="G76" s="2">
        <v>1.1890000000000001</v>
      </c>
      <c r="I76" s="2">
        <v>0.60899999999999999</v>
      </c>
      <c r="J76" s="2">
        <v>0.64500000000000002</v>
      </c>
      <c r="K76" s="2">
        <v>0.94199999999999995</v>
      </c>
      <c r="M76" s="2">
        <v>0.76200000000000001</v>
      </c>
      <c r="N76" s="2">
        <v>0.77900000000000003</v>
      </c>
      <c r="O76" s="11"/>
      <c r="R76" s="11" t="s">
        <v>23</v>
      </c>
      <c r="S76">
        <f>MIN(G67:G86)</f>
        <v>1.1379999999999999</v>
      </c>
      <c r="T76">
        <f>MAX(G67:G86)</f>
        <v>1.2290000000000001</v>
      </c>
    </row>
    <row r="77" spans="5:20" x14ac:dyDescent="0.3">
      <c r="E77" s="2">
        <v>1.002</v>
      </c>
      <c r="F77" s="2">
        <v>1.012</v>
      </c>
      <c r="G77" s="2">
        <v>1.2130000000000001</v>
      </c>
      <c r="I77" s="2">
        <v>0.63500000000000001</v>
      </c>
      <c r="J77" s="2">
        <v>0.67200000000000004</v>
      </c>
      <c r="K77" s="2">
        <v>0.99299999999999999</v>
      </c>
      <c r="M77" s="2">
        <v>0.82499999999999996</v>
      </c>
      <c r="N77" s="2">
        <v>0.83099999999999996</v>
      </c>
      <c r="O77" s="11"/>
      <c r="R77" s="11" t="s">
        <v>26</v>
      </c>
      <c r="S77">
        <f>MIN(K67:K86)</f>
        <v>0.91800000000000004</v>
      </c>
      <c r="T77">
        <f>MAX(K67:K86)</f>
        <v>1.0409999999999999</v>
      </c>
    </row>
    <row r="78" spans="5:20" x14ac:dyDescent="0.3">
      <c r="E78" s="2">
        <v>0.96799999999999997</v>
      </c>
      <c r="F78" s="2">
        <v>0.96299999999999997</v>
      </c>
      <c r="G78" s="2">
        <v>1.1890000000000001</v>
      </c>
      <c r="I78" s="2">
        <v>0.67800000000000005</v>
      </c>
      <c r="J78" s="2">
        <v>0.72299999999999998</v>
      </c>
      <c r="K78" s="2">
        <v>1.0249999999999999</v>
      </c>
      <c r="M78" s="2">
        <v>0.78600000000000003</v>
      </c>
      <c r="N78" s="2">
        <v>0.79200000000000004</v>
      </c>
      <c r="O78" s="11"/>
      <c r="R78" s="11" t="s">
        <v>31</v>
      </c>
      <c r="S78">
        <f>MIN(O67:O86)</f>
        <v>0</v>
      </c>
      <c r="T78">
        <f>MAX(O67:O86)</f>
        <v>0</v>
      </c>
    </row>
    <row r="79" spans="5:20" x14ac:dyDescent="0.3">
      <c r="E79" s="2">
        <v>0.98899999999999999</v>
      </c>
      <c r="F79" s="2">
        <v>0.99099999999999999</v>
      </c>
      <c r="G79" s="2">
        <v>1.196</v>
      </c>
      <c r="I79" s="2">
        <v>0.505</v>
      </c>
      <c r="J79" s="2">
        <v>0.60199999999999998</v>
      </c>
      <c r="K79" s="2">
        <v>0.91800000000000004</v>
      </c>
      <c r="M79" s="2">
        <v>0.78200000000000003</v>
      </c>
      <c r="N79" s="2">
        <v>0.78900000000000003</v>
      </c>
      <c r="O79" s="11"/>
    </row>
    <row r="80" spans="5:20" x14ac:dyDescent="0.3">
      <c r="E80" s="2">
        <v>0.96799999999999997</v>
      </c>
      <c r="F80" s="2">
        <v>0.96299999999999997</v>
      </c>
      <c r="G80" s="2">
        <v>1.1890000000000001</v>
      </c>
      <c r="I80" s="2">
        <v>0.63500000000000001</v>
      </c>
      <c r="J80" s="2">
        <v>0.67200000000000004</v>
      </c>
      <c r="K80" s="2">
        <v>0.99299999999999999</v>
      </c>
      <c r="M80" s="2">
        <v>0.78600000000000003</v>
      </c>
      <c r="N80" s="2">
        <v>0.79200000000000004</v>
      </c>
      <c r="O80" s="11"/>
    </row>
    <row r="81" spans="5:15" x14ac:dyDescent="0.3">
      <c r="E81" s="2">
        <v>1.0249999999999999</v>
      </c>
      <c r="F81" s="2">
        <v>1.048</v>
      </c>
      <c r="G81" s="2">
        <v>1.2290000000000001</v>
      </c>
      <c r="I81" s="2">
        <v>0.65200000000000002</v>
      </c>
      <c r="J81" s="2">
        <v>0.70299999999999996</v>
      </c>
      <c r="K81" s="2">
        <v>1.01</v>
      </c>
      <c r="M81" s="2">
        <v>0.78600000000000003</v>
      </c>
      <c r="N81" s="2">
        <v>0.79200000000000004</v>
      </c>
      <c r="O81" s="11"/>
    </row>
    <row r="82" spans="5:15" x14ac:dyDescent="0.3">
      <c r="E82" s="2">
        <v>1.0069999999999999</v>
      </c>
      <c r="F82" s="2">
        <v>1.018</v>
      </c>
      <c r="G82" s="2">
        <v>1.218</v>
      </c>
      <c r="I82" s="2">
        <v>0.61799999999999999</v>
      </c>
      <c r="J82" s="2">
        <v>0.65600000000000003</v>
      </c>
      <c r="K82" s="2">
        <v>0.95699999999999996</v>
      </c>
      <c r="M82" s="2">
        <v>0.70199999999999996</v>
      </c>
      <c r="N82" s="2">
        <v>0.752</v>
      </c>
      <c r="O82" s="11"/>
    </row>
    <row r="83" spans="5:15" x14ac:dyDescent="0.3">
      <c r="E83" s="2">
        <v>0.96799999999999997</v>
      </c>
      <c r="F83" s="2">
        <v>0.96299999999999997</v>
      </c>
      <c r="G83" s="2">
        <v>1.1890000000000001</v>
      </c>
      <c r="I83" s="2">
        <v>0.56200000000000006</v>
      </c>
      <c r="J83" s="2">
        <v>0.61499999999999999</v>
      </c>
      <c r="K83" s="2">
        <v>0.92200000000000004</v>
      </c>
      <c r="M83" s="2">
        <v>0.72599999999999998</v>
      </c>
      <c r="N83" s="2">
        <v>0.76800000000000002</v>
      </c>
      <c r="O83" s="11"/>
    </row>
    <row r="84" spans="5:15" x14ac:dyDescent="0.3">
      <c r="E84" s="2">
        <v>0.97299999999999998</v>
      </c>
      <c r="F84" s="2">
        <v>0.97199999999999998</v>
      </c>
      <c r="G84" s="2">
        <v>1.1930000000000001</v>
      </c>
      <c r="I84" s="2">
        <v>0.63500000000000001</v>
      </c>
      <c r="J84" s="2">
        <v>0.67200000000000004</v>
      </c>
      <c r="K84" s="2">
        <v>0.99299999999999999</v>
      </c>
      <c r="M84" s="2">
        <v>0.84299999999999997</v>
      </c>
      <c r="N84" s="2">
        <v>0.85099999999999998</v>
      </c>
      <c r="O84" s="11"/>
    </row>
    <row r="85" spans="5:15" x14ac:dyDescent="0.3">
      <c r="E85" s="2">
        <v>0.90200000000000002</v>
      </c>
      <c r="F85" s="2">
        <v>0.92300000000000004</v>
      </c>
      <c r="G85" s="2">
        <v>1.153</v>
      </c>
      <c r="I85" s="2">
        <v>0.63500000000000001</v>
      </c>
      <c r="J85" s="2">
        <v>0.67200000000000004</v>
      </c>
      <c r="K85" s="2">
        <v>0.99299999999999999</v>
      </c>
      <c r="M85" s="2">
        <v>0.78600000000000003</v>
      </c>
      <c r="N85" s="2">
        <v>0.79200000000000004</v>
      </c>
      <c r="O85" s="11"/>
    </row>
    <row r="86" spans="5:15" x14ac:dyDescent="0.3">
      <c r="E86" s="2">
        <v>0.96799999999999997</v>
      </c>
      <c r="F86" s="2">
        <v>0.96299999999999997</v>
      </c>
      <c r="G86" s="2">
        <v>1.1890000000000001</v>
      </c>
      <c r="I86" s="2">
        <v>0.59499999999999997</v>
      </c>
      <c r="J86" s="2">
        <v>0.621</v>
      </c>
      <c r="K86" s="2">
        <v>0.92700000000000005</v>
      </c>
      <c r="M86" s="2">
        <v>0.80500000000000005</v>
      </c>
      <c r="N86" s="2">
        <v>0.80200000000000005</v>
      </c>
      <c r="O86" s="11"/>
    </row>
  </sheetData>
  <autoFilter ref="A1:K62" xr:uid="{F8027CFB-B8D9-4D43-9502-01C512B6D75A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burr 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Shetty</dc:creator>
  <cp:lastModifiedBy>Amogh Shetty</cp:lastModifiedBy>
  <dcterms:created xsi:type="dcterms:W3CDTF">2026-03-05T12:25:14Z</dcterms:created>
  <dcterms:modified xsi:type="dcterms:W3CDTF">2026-03-08T16:13:30Z</dcterms:modified>
</cp:coreProperties>
</file>